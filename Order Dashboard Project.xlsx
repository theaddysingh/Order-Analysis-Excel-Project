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Admin\Downloads\DA Projects\Excel Projects\"/>
    </mc:Choice>
  </mc:AlternateContent>
  <xr:revisionPtr revIDLastSave="0" documentId="13_ncr:1_{9EAA273F-1DD7-4EFB-83E2-976A04F021FE}" xr6:coauthVersionLast="47" xr6:coauthVersionMax="47" xr10:uidLastSave="{00000000-0000-0000-0000-000000000000}"/>
  <bookViews>
    <workbookView xWindow="-108" yWindow="-108" windowWidth="23256" windowHeight="12576" activeTab="2" xr2:uid="{AC3D9971-87E5-4802-8C05-F7A646114B98}"/>
  </bookViews>
  <sheets>
    <sheet name="Orders" sheetId="6" r:id="rId1"/>
    <sheet name="Pivots" sheetId="13" r:id="rId2"/>
    <sheet name="Dashboard" sheetId="16" r:id="rId3"/>
  </sheets>
  <definedNames>
    <definedName name="_xlcn.WorksheetConnection_DataModellingClassWorkbook.xlsxTable11" hidden="1">Table1</definedName>
    <definedName name="_xlcn.WorksheetConnection_DataModellingClassWorkbook.xlsxTable21" hidden="1">Table2</definedName>
    <definedName name="_xlcn.WorksheetConnection_DataModellingClassWorkbook.xlsxTable31" hidden="1">Table3[]</definedName>
    <definedName name="_xlcn.WorksheetConnection_DataModellingClassWorkbook.xlsxTable41" hidden="1">Table4</definedName>
    <definedName name="Slicer_Days__Sale_Date">#N/A</definedName>
    <definedName name="Slicer_Order_Type">#N/A</definedName>
    <definedName name="Slicer_Product_Nam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Data Modelling - Class Workbook.xlsx!Table1"/>
          <x15:modelTable id="Table2" name="Table2" connection="WorksheetConnection_Data Modelling - Class Workbook.xlsx!Table2"/>
          <x15:modelTable id="Table3" name="Table3" connection="WorksheetConnection_Data Modelling - Class Workbook.xlsx!Table3"/>
          <x15:modelTable id="Table4" name="Table4" connection="WorksheetConnection_Data Modelling - Class Workbook.xlsx!Table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6" l="1"/>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J2" i="6"/>
  <c r="I502" i="6"/>
  <c r="J502" i="6" s="1"/>
  <c r="I503" i="6"/>
  <c r="J503" i="6" s="1"/>
  <c r="I504" i="6"/>
  <c r="J504" i="6" s="1"/>
  <c r="I505" i="6"/>
  <c r="J505" i="6" s="1"/>
  <c r="I506" i="6"/>
  <c r="J506" i="6" s="1"/>
  <c r="I507" i="6"/>
  <c r="J507" i="6" s="1"/>
  <c r="I508" i="6"/>
  <c r="J508" i="6" s="1"/>
  <c r="I509" i="6"/>
  <c r="J509" i="6" s="1"/>
  <c r="I510" i="6"/>
  <c r="J510" i="6" s="1"/>
  <c r="I511" i="6"/>
  <c r="J511" i="6" s="1"/>
  <c r="I512" i="6"/>
  <c r="J512" i="6" s="1"/>
  <c r="I513" i="6"/>
  <c r="J513" i="6" s="1"/>
  <c r="I514" i="6"/>
  <c r="J514" i="6" s="1"/>
  <c r="I515" i="6"/>
  <c r="J515" i="6" s="1"/>
  <c r="I516" i="6"/>
  <c r="J516" i="6" s="1"/>
  <c r="I517" i="6"/>
  <c r="J517" i="6" s="1"/>
  <c r="I518" i="6"/>
  <c r="J518" i="6" s="1"/>
  <c r="I519" i="6"/>
  <c r="J519" i="6" s="1"/>
  <c r="I520" i="6"/>
  <c r="J520" i="6" s="1"/>
  <c r="I521" i="6"/>
  <c r="J521" i="6" s="1"/>
  <c r="I522" i="6"/>
  <c r="J522" i="6" s="1"/>
  <c r="I523" i="6"/>
  <c r="J523" i="6" s="1"/>
  <c r="I524" i="6"/>
  <c r="J524" i="6" s="1"/>
  <c r="I525" i="6"/>
  <c r="J525" i="6" s="1"/>
  <c r="I526" i="6"/>
  <c r="J526" i="6" s="1"/>
  <c r="I527" i="6"/>
  <c r="J527" i="6" s="1"/>
  <c r="I528" i="6"/>
  <c r="J528" i="6" s="1"/>
  <c r="I529" i="6"/>
  <c r="J529" i="6" s="1"/>
  <c r="I530" i="6"/>
  <c r="J530" i="6" s="1"/>
  <c r="I531" i="6"/>
  <c r="J531" i="6" s="1"/>
  <c r="I532" i="6"/>
  <c r="J532" i="6" s="1"/>
  <c r="I533" i="6"/>
  <c r="J533" i="6" s="1"/>
  <c r="I534" i="6"/>
  <c r="J534" i="6" s="1"/>
  <c r="I535" i="6"/>
  <c r="J535" i="6" s="1"/>
  <c r="I536" i="6"/>
  <c r="J536" i="6" s="1"/>
  <c r="I537" i="6"/>
  <c r="J537" i="6" s="1"/>
  <c r="I538" i="6"/>
  <c r="J538" i="6" s="1"/>
  <c r="I539" i="6"/>
  <c r="J539" i="6" s="1"/>
  <c r="I540" i="6"/>
  <c r="J540" i="6" s="1"/>
  <c r="I541" i="6"/>
  <c r="J541" i="6" s="1"/>
  <c r="I542" i="6"/>
  <c r="J542" i="6" s="1"/>
  <c r="I543" i="6"/>
  <c r="J543" i="6" s="1"/>
  <c r="I544" i="6"/>
  <c r="J544" i="6" s="1"/>
  <c r="I545" i="6"/>
  <c r="J545" i="6" s="1"/>
  <c r="I546" i="6"/>
  <c r="J546" i="6" s="1"/>
  <c r="I547" i="6"/>
  <c r="J547" i="6" s="1"/>
  <c r="I548" i="6"/>
  <c r="J548" i="6" s="1"/>
  <c r="I549" i="6"/>
  <c r="J549" i="6" s="1"/>
  <c r="I550" i="6"/>
  <c r="J550" i="6" s="1"/>
  <c r="I551" i="6"/>
  <c r="J551" i="6" s="1"/>
  <c r="I552" i="6"/>
  <c r="J552" i="6" s="1"/>
  <c r="I553" i="6"/>
  <c r="J553" i="6" s="1"/>
  <c r="I554" i="6"/>
  <c r="J554" i="6" s="1"/>
  <c r="I555" i="6"/>
  <c r="J555" i="6" s="1"/>
  <c r="I556" i="6"/>
  <c r="J556" i="6" s="1"/>
  <c r="I557" i="6"/>
  <c r="J557" i="6" s="1"/>
  <c r="I558" i="6"/>
  <c r="J558" i="6" s="1"/>
  <c r="I559" i="6"/>
  <c r="J559" i="6" s="1"/>
  <c r="I560" i="6"/>
  <c r="J560" i="6" s="1"/>
  <c r="I561" i="6"/>
  <c r="J561" i="6" s="1"/>
  <c r="I562" i="6"/>
  <c r="J562" i="6" s="1"/>
  <c r="I563" i="6"/>
  <c r="J563" i="6" s="1"/>
  <c r="I564" i="6"/>
  <c r="J564" i="6" s="1"/>
  <c r="I565" i="6"/>
  <c r="J565" i="6" s="1"/>
  <c r="I566" i="6"/>
  <c r="J566" i="6" s="1"/>
  <c r="I567" i="6"/>
  <c r="J567" i="6" s="1"/>
  <c r="I568" i="6"/>
  <c r="J568" i="6" s="1"/>
  <c r="I569" i="6"/>
  <c r="J569" i="6" s="1"/>
  <c r="I570" i="6"/>
  <c r="J570" i="6" s="1"/>
  <c r="I571" i="6"/>
  <c r="J571" i="6" s="1"/>
  <c r="I572" i="6"/>
  <c r="J572" i="6" s="1"/>
  <c r="I573" i="6"/>
  <c r="J573" i="6" s="1"/>
  <c r="I574" i="6"/>
  <c r="J574" i="6" s="1"/>
  <c r="I575" i="6"/>
  <c r="J575" i="6" s="1"/>
  <c r="I576" i="6"/>
  <c r="J576" i="6" s="1"/>
  <c r="I577" i="6"/>
  <c r="J577" i="6" s="1"/>
  <c r="I578" i="6"/>
  <c r="J578" i="6" s="1"/>
  <c r="I579" i="6"/>
  <c r="J579" i="6" s="1"/>
  <c r="I580" i="6"/>
  <c r="J580" i="6" s="1"/>
  <c r="I581" i="6"/>
  <c r="J581" i="6" s="1"/>
  <c r="I582" i="6"/>
  <c r="J582" i="6" s="1"/>
  <c r="I583" i="6"/>
  <c r="J583" i="6" s="1"/>
  <c r="I584" i="6"/>
  <c r="J584" i="6" s="1"/>
  <c r="I585" i="6"/>
  <c r="J585" i="6" s="1"/>
  <c r="I586" i="6"/>
  <c r="J586" i="6" s="1"/>
  <c r="I587" i="6"/>
  <c r="J587" i="6" s="1"/>
  <c r="I588" i="6"/>
  <c r="J588" i="6" s="1"/>
  <c r="I589" i="6"/>
  <c r="J589" i="6" s="1"/>
  <c r="I590" i="6"/>
  <c r="J590" i="6" s="1"/>
  <c r="I591" i="6"/>
  <c r="J591" i="6" s="1"/>
  <c r="I592" i="6"/>
  <c r="J592" i="6" s="1"/>
  <c r="I593" i="6"/>
  <c r="J593" i="6" s="1"/>
  <c r="I594" i="6"/>
  <c r="J594" i="6" s="1"/>
  <c r="I595" i="6"/>
  <c r="J595" i="6" s="1"/>
  <c r="I596" i="6"/>
  <c r="J596" i="6" s="1"/>
  <c r="I597" i="6"/>
  <c r="J597" i="6" s="1"/>
  <c r="I598" i="6"/>
  <c r="J598" i="6" s="1"/>
  <c r="I599" i="6"/>
  <c r="J599" i="6" s="1"/>
  <c r="I600" i="6"/>
  <c r="J600" i="6" s="1"/>
  <c r="I601" i="6"/>
  <c r="J601" i="6" s="1"/>
  <c r="I602" i="6"/>
  <c r="J602" i="6" s="1"/>
  <c r="I603" i="6"/>
  <c r="J603" i="6" s="1"/>
  <c r="I604" i="6"/>
  <c r="J604" i="6" s="1"/>
  <c r="I605" i="6"/>
  <c r="J605" i="6" s="1"/>
  <c r="I606" i="6"/>
  <c r="J606" i="6" s="1"/>
  <c r="I607" i="6"/>
  <c r="J607" i="6" s="1"/>
  <c r="I608" i="6"/>
  <c r="J608" i="6" s="1"/>
  <c r="I609" i="6"/>
  <c r="J609" i="6" s="1"/>
  <c r="I610" i="6"/>
  <c r="J610" i="6" s="1"/>
  <c r="I611" i="6"/>
  <c r="J611" i="6" s="1"/>
  <c r="I612" i="6"/>
  <c r="J612" i="6" s="1"/>
  <c r="I613" i="6"/>
  <c r="J613" i="6" s="1"/>
  <c r="I614" i="6"/>
  <c r="J614" i="6" s="1"/>
  <c r="I615" i="6"/>
  <c r="J615" i="6" s="1"/>
  <c r="I616" i="6"/>
  <c r="J616" i="6" s="1"/>
  <c r="I617" i="6"/>
  <c r="J617" i="6" s="1"/>
  <c r="I618" i="6"/>
  <c r="J618" i="6" s="1"/>
  <c r="I619" i="6"/>
  <c r="J619" i="6" s="1"/>
  <c r="I620" i="6"/>
  <c r="J620" i="6" s="1"/>
  <c r="I621" i="6"/>
  <c r="J621" i="6" s="1"/>
  <c r="I622" i="6"/>
  <c r="J622" i="6" s="1"/>
  <c r="I623" i="6"/>
  <c r="J623" i="6" s="1"/>
  <c r="I624" i="6"/>
  <c r="J624" i="6" s="1"/>
  <c r="I625" i="6"/>
  <c r="J625" i="6" s="1"/>
  <c r="I626" i="6"/>
  <c r="J626" i="6" s="1"/>
  <c r="I627" i="6"/>
  <c r="J627" i="6" s="1"/>
  <c r="I628" i="6"/>
  <c r="J628" i="6" s="1"/>
  <c r="I629" i="6"/>
  <c r="J629" i="6" s="1"/>
  <c r="I630" i="6"/>
  <c r="J630" i="6" s="1"/>
  <c r="I631" i="6"/>
  <c r="J631" i="6" s="1"/>
  <c r="I632" i="6"/>
  <c r="J632" i="6" s="1"/>
  <c r="I633" i="6"/>
  <c r="J633" i="6" s="1"/>
  <c r="I634" i="6"/>
  <c r="J634" i="6" s="1"/>
  <c r="I635" i="6"/>
  <c r="J635" i="6" s="1"/>
  <c r="I636" i="6"/>
  <c r="J636" i="6" s="1"/>
  <c r="I637" i="6"/>
  <c r="J637" i="6" s="1"/>
  <c r="I638" i="6"/>
  <c r="J638" i="6" s="1"/>
  <c r="I639" i="6"/>
  <c r="J639" i="6" s="1"/>
  <c r="I640" i="6"/>
  <c r="J640" i="6" s="1"/>
  <c r="I641" i="6"/>
  <c r="J641" i="6" s="1"/>
  <c r="I642" i="6"/>
  <c r="J642" i="6" s="1"/>
  <c r="I643" i="6"/>
  <c r="J643" i="6" s="1"/>
  <c r="I644" i="6"/>
  <c r="J644" i="6" s="1"/>
  <c r="I645" i="6"/>
  <c r="J645" i="6" s="1"/>
  <c r="I646" i="6"/>
  <c r="J646" i="6" s="1"/>
  <c r="I647" i="6"/>
  <c r="J647" i="6" s="1"/>
  <c r="I648" i="6"/>
  <c r="J648" i="6" s="1"/>
  <c r="I649" i="6"/>
  <c r="J649" i="6" s="1"/>
  <c r="I650" i="6"/>
  <c r="J650" i="6" s="1"/>
  <c r="I651" i="6"/>
  <c r="J651" i="6" s="1"/>
  <c r="I652" i="6"/>
  <c r="J652" i="6" s="1"/>
  <c r="I653" i="6"/>
  <c r="J653" i="6" s="1"/>
  <c r="I654" i="6"/>
  <c r="J654" i="6" s="1"/>
  <c r="I655" i="6"/>
  <c r="J655" i="6" s="1"/>
  <c r="I656" i="6"/>
  <c r="J656" i="6" s="1"/>
  <c r="I657" i="6"/>
  <c r="J657" i="6" s="1"/>
  <c r="I658" i="6"/>
  <c r="J658" i="6" s="1"/>
  <c r="I659" i="6"/>
  <c r="J659" i="6" s="1"/>
  <c r="I660" i="6"/>
  <c r="J660" i="6" s="1"/>
  <c r="I661" i="6"/>
  <c r="J661" i="6" s="1"/>
  <c r="I662" i="6"/>
  <c r="J662" i="6" s="1"/>
  <c r="I663" i="6"/>
  <c r="J663" i="6" s="1"/>
  <c r="I664" i="6"/>
  <c r="J664" i="6" s="1"/>
  <c r="I665" i="6"/>
  <c r="J665" i="6" s="1"/>
  <c r="I666" i="6"/>
  <c r="J666" i="6" s="1"/>
  <c r="I667" i="6"/>
  <c r="J667" i="6" s="1"/>
  <c r="I668" i="6"/>
  <c r="J668" i="6" s="1"/>
  <c r="I669" i="6"/>
  <c r="J669" i="6" s="1"/>
  <c r="I670" i="6"/>
  <c r="J670" i="6" s="1"/>
  <c r="I671" i="6"/>
  <c r="J671" i="6" s="1"/>
  <c r="I672" i="6"/>
  <c r="J672" i="6" s="1"/>
  <c r="I673" i="6"/>
  <c r="J673" i="6" s="1"/>
  <c r="I674" i="6"/>
  <c r="J674" i="6" s="1"/>
  <c r="I675" i="6"/>
  <c r="J675" i="6" s="1"/>
  <c r="I676" i="6"/>
  <c r="J676" i="6" s="1"/>
  <c r="I677" i="6"/>
  <c r="J677" i="6" s="1"/>
  <c r="I678" i="6"/>
  <c r="J678" i="6" s="1"/>
  <c r="I679" i="6"/>
  <c r="J679" i="6" s="1"/>
  <c r="I680" i="6"/>
  <c r="J680" i="6" s="1"/>
  <c r="I681" i="6"/>
  <c r="J681" i="6" s="1"/>
  <c r="I682" i="6"/>
  <c r="J682" i="6" s="1"/>
  <c r="I683" i="6"/>
  <c r="J683" i="6" s="1"/>
  <c r="I684" i="6"/>
  <c r="J684" i="6" s="1"/>
  <c r="I685" i="6"/>
  <c r="J685" i="6" s="1"/>
  <c r="I686" i="6"/>
  <c r="J686" i="6" s="1"/>
  <c r="I687" i="6"/>
  <c r="J687" i="6" s="1"/>
  <c r="I688" i="6"/>
  <c r="J688" i="6" s="1"/>
  <c r="I689" i="6"/>
  <c r="J689" i="6" s="1"/>
  <c r="I690" i="6"/>
  <c r="J690" i="6" s="1"/>
  <c r="I691" i="6"/>
  <c r="J691" i="6" s="1"/>
  <c r="I692" i="6"/>
  <c r="J692" i="6" s="1"/>
  <c r="I693" i="6"/>
  <c r="J693" i="6" s="1"/>
  <c r="I694" i="6"/>
  <c r="J694" i="6" s="1"/>
  <c r="I695" i="6"/>
  <c r="J695" i="6" s="1"/>
  <c r="I696" i="6"/>
  <c r="J696" i="6" s="1"/>
  <c r="I697" i="6"/>
  <c r="J697" i="6" s="1"/>
  <c r="I698" i="6"/>
  <c r="J698" i="6" s="1"/>
  <c r="I699" i="6"/>
  <c r="J699" i="6" s="1"/>
  <c r="I700" i="6"/>
  <c r="J700" i="6" s="1"/>
  <c r="I701" i="6"/>
  <c r="J701" i="6" s="1"/>
  <c r="I702" i="6"/>
  <c r="J702" i="6" s="1"/>
  <c r="I703" i="6"/>
  <c r="J703" i="6" s="1"/>
  <c r="I704" i="6"/>
  <c r="J704" i="6" s="1"/>
  <c r="I705" i="6"/>
  <c r="J705" i="6" s="1"/>
  <c r="I706" i="6"/>
  <c r="J706" i="6" s="1"/>
  <c r="I707" i="6"/>
  <c r="J707" i="6" s="1"/>
  <c r="I708" i="6"/>
  <c r="J708" i="6" s="1"/>
  <c r="I709" i="6"/>
  <c r="J709" i="6" s="1"/>
  <c r="I710" i="6"/>
  <c r="J710" i="6" s="1"/>
  <c r="I711" i="6"/>
  <c r="J711" i="6" s="1"/>
  <c r="I712" i="6"/>
  <c r="J712" i="6" s="1"/>
  <c r="I713" i="6"/>
  <c r="J713" i="6" s="1"/>
  <c r="I714" i="6"/>
  <c r="J714" i="6" s="1"/>
  <c r="I715" i="6"/>
  <c r="J715" i="6" s="1"/>
  <c r="I716" i="6"/>
  <c r="J716" i="6" s="1"/>
  <c r="I717" i="6"/>
  <c r="J717" i="6" s="1"/>
  <c r="I718" i="6"/>
  <c r="J718" i="6" s="1"/>
  <c r="I719" i="6"/>
  <c r="J719" i="6" s="1"/>
  <c r="I720" i="6"/>
  <c r="J720" i="6" s="1"/>
  <c r="I721" i="6"/>
  <c r="J721" i="6" s="1"/>
  <c r="I722" i="6"/>
  <c r="J722" i="6" s="1"/>
  <c r="I723" i="6"/>
  <c r="J723" i="6" s="1"/>
  <c r="I724" i="6"/>
  <c r="J724" i="6" s="1"/>
  <c r="I725" i="6"/>
  <c r="J725" i="6" s="1"/>
  <c r="I726" i="6"/>
  <c r="J726" i="6" s="1"/>
  <c r="I727" i="6"/>
  <c r="J727" i="6" s="1"/>
  <c r="I728" i="6"/>
  <c r="J728" i="6" s="1"/>
  <c r="I729" i="6"/>
  <c r="J729" i="6" s="1"/>
  <c r="I730" i="6"/>
  <c r="J730" i="6" s="1"/>
  <c r="I731" i="6"/>
  <c r="J731" i="6" s="1"/>
  <c r="I732" i="6"/>
  <c r="J732" i="6" s="1"/>
  <c r="I733" i="6"/>
  <c r="J733" i="6" s="1"/>
  <c r="I734" i="6"/>
  <c r="J734" i="6" s="1"/>
  <c r="I735" i="6"/>
  <c r="J735" i="6" s="1"/>
  <c r="I736" i="6"/>
  <c r="J736" i="6" s="1"/>
  <c r="I737" i="6"/>
  <c r="J737" i="6" s="1"/>
  <c r="I738" i="6"/>
  <c r="J738" i="6" s="1"/>
  <c r="I739" i="6"/>
  <c r="J739" i="6" s="1"/>
  <c r="I740" i="6"/>
  <c r="J740" i="6" s="1"/>
  <c r="I741" i="6"/>
  <c r="J741" i="6" s="1"/>
  <c r="I742" i="6"/>
  <c r="J742" i="6" s="1"/>
  <c r="I743" i="6"/>
  <c r="J743" i="6" s="1"/>
  <c r="I744" i="6"/>
  <c r="J744" i="6" s="1"/>
  <c r="I745" i="6"/>
  <c r="J745" i="6" s="1"/>
  <c r="I746" i="6"/>
  <c r="J746" i="6" s="1"/>
  <c r="I747" i="6"/>
  <c r="J747" i="6" s="1"/>
  <c r="I748" i="6"/>
  <c r="J748" i="6" s="1"/>
  <c r="I749" i="6"/>
  <c r="J749" i="6" s="1"/>
  <c r="I750" i="6"/>
  <c r="J750" i="6" s="1"/>
  <c r="I751" i="6"/>
  <c r="J751" i="6" s="1"/>
  <c r="I752" i="6"/>
  <c r="J752" i="6" s="1"/>
  <c r="I753" i="6"/>
  <c r="J753" i="6" s="1"/>
  <c r="I754" i="6"/>
  <c r="J754" i="6" s="1"/>
  <c r="I755" i="6"/>
  <c r="J755" i="6" s="1"/>
  <c r="I756" i="6"/>
  <c r="J756" i="6" s="1"/>
  <c r="I757" i="6"/>
  <c r="J757" i="6" s="1"/>
  <c r="I758" i="6"/>
  <c r="J758" i="6" s="1"/>
  <c r="I759" i="6"/>
  <c r="J759" i="6" s="1"/>
  <c r="I760" i="6"/>
  <c r="J760" i="6" s="1"/>
  <c r="I761" i="6"/>
  <c r="J761" i="6" s="1"/>
  <c r="I762" i="6"/>
  <c r="J762" i="6" s="1"/>
  <c r="I763" i="6"/>
  <c r="J763" i="6" s="1"/>
  <c r="I764" i="6"/>
  <c r="J764" i="6" s="1"/>
  <c r="I765" i="6"/>
  <c r="J765" i="6" s="1"/>
  <c r="I766" i="6"/>
  <c r="J766" i="6" s="1"/>
  <c r="I767" i="6"/>
  <c r="J767" i="6" s="1"/>
  <c r="I768" i="6"/>
  <c r="J768" i="6" s="1"/>
  <c r="I769" i="6"/>
  <c r="J769" i="6" s="1"/>
  <c r="I770" i="6"/>
  <c r="J770" i="6" s="1"/>
  <c r="I771" i="6"/>
  <c r="J771" i="6" s="1"/>
  <c r="I772" i="6"/>
  <c r="J772" i="6" s="1"/>
  <c r="I773" i="6"/>
  <c r="J773" i="6" s="1"/>
  <c r="I774" i="6"/>
  <c r="J774" i="6" s="1"/>
  <c r="I775" i="6"/>
  <c r="J775" i="6" s="1"/>
  <c r="I776" i="6"/>
  <c r="J776" i="6" s="1"/>
  <c r="I777" i="6"/>
  <c r="J777" i="6" s="1"/>
  <c r="I778" i="6"/>
  <c r="J778" i="6" s="1"/>
  <c r="I779" i="6"/>
  <c r="J779" i="6" s="1"/>
  <c r="I780" i="6"/>
  <c r="J780" i="6" s="1"/>
  <c r="I781" i="6"/>
  <c r="J781" i="6" s="1"/>
  <c r="I782" i="6"/>
  <c r="J782" i="6" s="1"/>
  <c r="I783" i="6"/>
  <c r="J783" i="6" s="1"/>
  <c r="I784" i="6"/>
  <c r="J784" i="6" s="1"/>
  <c r="I785" i="6"/>
  <c r="J785" i="6" s="1"/>
  <c r="I786" i="6"/>
  <c r="J786" i="6" s="1"/>
  <c r="I787" i="6"/>
  <c r="J787" i="6" s="1"/>
  <c r="I788" i="6"/>
  <c r="J788" i="6" s="1"/>
  <c r="I789" i="6"/>
  <c r="J789" i="6" s="1"/>
  <c r="I790" i="6"/>
  <c r="J790" i="6" s="1"/>
  <c r="I791" i="6"/>
  <c r="J791" i="6" s="1"/>
  <c r="I792" i="6"/>
  <c r="J792" i="6" s="1"/>
  <c r="I793" i="6"/>
  <c r="J793" i="6" s="1"/>
  <c r="I794" i="6"/>
  <c r="J794" i="6" s="1"/>
  <c r="I795" i="6"/>
  <c r="J795" i="6" s="1"/>
  <c r="I501" i="6"/>
  <c r="J501" i="6" s="1"/>
  <c r="E10" i="16"/>
  <c r="W10" i="16"/>
  <c r="Q10" i="16"/>
  <c r="K10"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39497E-D68B-414F-8798-9DD61807049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B9F8E615-B3BA-4E80-93A3-98FFD1E9C90B}" name="WorksheetConnection_Data Modelling - Class Workbook.xlsx!Table1" type="102" refreshedVersion="8" minRefreshableVersion="5">
    <extLst>
      <ext xmlns:x15="http://schemas.microsoft.com/office/spreadsheetml/2010/11/main" uri="{DE250136-89BD-433C-8126-D09CA5730AF9}">
        <x15:connection id="Table1">
          <x15:rangePr sourceName="_xlcn.WorksheetConnection_DataModellingClassWorkbook.xlsxTable11"/>
        </x15:connection>
      </ext>
    </extLst>
  </connection>
  <connection id="3" xr16:uid="{586A7FB4-47D2-4E30-9627-B598CE2D9C88}" name="WorksheetConnection_Data Modelling - Class Workbook.xlsx!Table2" type="102" refreshedVersion="8" minRefreshableVersion="5">
    <extLst>
      <ext xmlns:x15="http://schemas.microsoft.com/office/spreadsheetml/2010/11/main" uri="{DE250136-89BD-433C-8126-D09CA5730AF9}">
        <x15:connection id="Table2">
          <x15:rangePr sourceName="_xlcn.WorksheetConnection_DataModellingClassWorkbook.xlsxTable21"/>
        </x15:connection>
      </ext>
    </extLst>
  </connection>
  <connection id="4" xr16:uid="{6E9E0FE1-A387-4597-BAAA-901B5C121C45}" name="WorksheetConnection_Data Modelling - Class Workbook.xlsx!Table3" type="102" refreshedVersion="8" minRefreshableVersion="5">
    <extLst>
      <ext xmlns:x15="http://schemas.microsoft.com/office/spreadsheetml/2010/11/main" uri="{DE250136-89BD-433C-8126-D09CA5730AF9}">
        <x15:connection id="Table3">
          <x15:rangePr sourceName="_xlcn.WorksheetConnection_DataModellingClassWorkbook.xlsxTable31"/>
        </x15:connection>
      </ext>
    </extLst>
  </connection>
  <connection id="5" xr16:uid="{BF614C0F-C531-437D-AEFF-7120AE6A4EDE}" name="WorksheetConnection_Data Modelling - Class Workbook.xlsx!Table4" type="102" refreshedVersion="8" minRefreshableVersion="5">
    <extLst>
      <ext xmlns:x15="http://schemas.microsoft.com/office/spreadsheetml/2010/11/main" uri="{DE250136-89BD-433C-8126-D09CA5730AF9}">
        <x15:connection id="Table4">
          <x15:rangePr sourceName="_xlcn.WorksheetConnection_DataModellingClassWorkbook.xlsxTable41"/>
        </x15:connection>
      </ext>
    </extLst>
  </connection>
</connections>
</file>

<file path=xl/sharedStrings.xml><?xml version="1.0" encoding="utf-8"?>
<sst xmlns="http://schemas.openxmlformats.org/spreadsheetml/2006/main" count="4196" uniqueCount="928">
  <si>
    <t>Roch Cousineau</t>
  </si>
  <si>
    <t>Adrien Martin</t>
  </si>
  <si>
    <t>Albain Forestier</t>
  </si>
  <si>
    <t>Order ID</t>
  </si>
  <si>
    <t>PBOR00001</t>
  </si>
  <si>
    <t>PBOR00002</t>
  </si>
  <si>
    <t>PBOR00003</t>
  </si>
  <si>
    <t>PBOR00004</t>
  </si>
  <si>
    <t>PBOR00005</t>
  </si>
  <si>
    <t>PBOR00006</t>
  </si>
  <si>
    <t>PBOR00007</t>
  </si>
  <si>
    <t>PBOR00009</t>
  </si>
  <si>
    <t>PBOR00010</t>
  </si>
  <si>
    <t>PBOR00011</t>
  </si>
  <si>
    <t>PBOR00012</t>
  </si>
  <si>
    <t>PBOR00013</t>
  </si>
  <si>
    <t>PBOR00014</t>
  </si>
  <si>
    <t>PBOR00015</t>
  </si>
  <si>
    <t>PBOR00016</t>
  </si>
  <si>
    <t>PBOR00017</t>
  </si>
  <si>
    <t>PBOR00018</t>
  </si>
  <si>
    <t>PBOR00019</t>
  </si>
  <si>
    <t>PBOR00020</t>
  </si>
  <si>
    <t>PBOR00021</t>
  </si>
  <si>
    <t>PBOR00022</t>
  </si>
  <si>
    <t>PBOR00023</t>
  </si>
  <si>
    <t>PBOR00024</t>
  </si>
  <si>
    <t>PBOR00025</t>
  </si>
  <si>
    <t>PBOR00026</t>
  </si>
  <si>
    <t>PBOR00027</t>
  </si>
  <si>
    <t>PBOR00029</t>
  </si>
  <si>
    <t>PBOR00030</t>
  </si>
  <si>
    <t>PBOR00031</t>
  </si>
  <si>
    <t>PBOR00032</t>
  </si>
  <si>
    <t>PBOR00033</t>
  </si>
  <si>
    <t>PBOR00035</t>
  </si>
  <si>
    <t>PBOR00036</t>
  </si>
  <si>
    <t>PBOR00037</t>
  </si>
  <si>
    <t>PBOR00038</t>
  </si>
  <si>
    <t>PBOR00040</t>
  </si>
  <si>
    <t>PBOR00041</t>
  </si>
  <si>
    <t>PBOR00042</t>
  </si>
  <si>
    <t>PBOR00043</t>
  </si>
  <si>
    <t>PBOR00044</t>
  </si>
  <si>
    <t>PBOR00045</t>
  </si>
  <si>
    <t>PBOR00046</t>
  </si>
  <si>
    <t>PBOR00047</t>
  </si>
  <si>
    <t>PBOR00048</t>
  </si>
  <si>
    <t>PBOR00049</t>
  </si>
  <si>
    <t>PBOR00050</t>
  </si>
  <si>
    <t>Product ID</t>
  </si>
  <si>
    <t>PIZB0001</t>
  </si>
  <si>
    <t>PIZB0002</t>
  </si>
  <si>
    <t>PIZB0003</t>
  </si>
  <si>
    <t>PIZB0004</t>
  </si>
  <si>
    <t>PIZB0005</t>
  </si>
  <si>
    <t>PIZB0006</t>
  </si>
  <si>
    <t>Sale Date</t>
  </si>
  <si>
    <t>Product Name</t>
  </si>
  <si>
    <t>Paneer Tikka Pizzabun</t>
  </si>
  <si>
    <t>Crispy Chole Pizzabun</t>
  </si>
  <si>
    <t>Large Paneer Tikka Pizzabun</t>
  </si>
  <si>
    <t>Medium Crispy Chole Pizzabun</t>
  </si>
  <si>
    <t>Minty Pizzabun</t>
  </si>
  <si>
    <t>Aloo Shots Pizzabun</t>
  </si>
  <si>
    <t>Order Type</t>
  </si>
  <si>
    <t>Online</t>
  </si>
  <si>
    <t>Physical Visit</t>
  </si>
  <si>
    <t>Price of One Product</t>
  </si>
  <si>
    <t>Agent</t>
  </si>
  <si>
    <t>No of Products in one Sale</t>
  </si>
  <si>
    <t>PBOR00051</t>
  </si>
  <si>
    <t>PBOR00052</t>
  </si>
  <si>
    <t>PBOR00053</t>
  </si>
  <si>
    <t>PBOR00054</t>
  </si>
  <si>
    <t>PBOR00055</t>
  </si>
  <si>
    <t>PBOR00056</t>
  </si>
  <si>
    <t>PBOR00057</t>
  </si>
  <si>
    <t>PBOR00058</t>
  </si>
  <si>
    <t>PBOR00059</t>
  </si>
  <si>
    <t>PBOR00060</t>
  </si>
  <si>
    <t>PBOR00061</t>
  </si>
  <si>
    <t>PBOR00062</t>
  </si>
  <si>
    <t>PBOR00063</t>
  </si>
  <si>
    <t>PBOR00064</t>
  </si>
  <si>
    <t>PBOR00065</t>
  </si>
  <si>
    <t>PBOR00066</t>
  </si>
  <si>
    <t>PBOR00067</t>
  </si>
  <si>
    <t>PBOR00068</t>
  </si>
  <si>
    <t>PBOR00069</t>
  </si>
  <si>
    <t>PBOR00070</t>
  </si>
  <si>
    <t>PBOR00071</t>
  </si>
  <si>
    <t>PBOR00072</t>
  </si>
  <si>
    <t>PBOR00073</t>
  </si>
  <si>
    <t>PBOR00074</t>
  </si>
  <si>
    <t>PBOR00075</t>
  </si>
  <si>
    <t>PBOR00076</t>
  </si>
  <si>
    <t>PBOR00077</t>
  </si>
  <si>
    <t>PBOR00078</t>
  </si>
  <si>
    <t>PBOR00079</t>
  </si>
  <si>
    <t>PBOR00080</t>
  </si>
  <si>
    <t>PBOR00081</t>
  </si>
  <si>
    <t>PBOR00082</t>
  </si>
  <si>
    <t>PBOR00083</t>
  </si>
  <si>
    <t>PBOR00084</t>
  </si>
  <si>
    <t>PBOR00085</t>
  </si>
  <si>
    <t>PBOR00086</t>
  </si>
  <si>
    <t>PBOR00087</t>
  </si>
  <si>
    <t>PBOR00088</t>
  </si>
  <si>
    <t>PBOR00089</t>
  </si>
  <si>
    <t>PBOR00090</t>
  </si>
  <si>
    <t>PBOR00091</t>
  </si>
  <si>
    <t>PBOR00092</t>
  </si>
  <si>
    <t>PBOR00093</t>
  </si>
  <si>
    <t>PBOR00094</t>
  </si>
  <si>
    <t>PBOR00095</t>
  </si>
  <si>
    <t>PBOR00096</t>
  </si>
  <si>
    <t>PBOR00097</t>
  </si>
  <si>
    <t>PBOR00098</t>
  </si>
  <si>
    <t>PBOR00099</t>
  </si>
  <si>
    <t>PBOR00100</t>
  </si>
  <si>
    <t>PBOR00101</t>
  </si>
  <si>
    <t>PBOR00102</t>
  </si>
  <si>
    <t>PBOR00103</t>
  </si>
  <si>
    <t>PBOR00104</t>
  </si>
  <si>
    <t>PBOR00105</t>
  </si>
  <si>
    <t>PBOR00106</t>
  </si>
  <si>
    <t>PBOR00107</t>
  </si>
  <si>
    <t>PBOR00108</t>
  </si>
  <si>
    <t>PBOR00109</t>
  </si>
  <si>
    <t>PBOR00110</t>
  </si>
  <si>
    <t>PBOR00111</t>
  </si>
  <si>
    <t>PBOR00112</t>
  </si>
  <si>
    <t>PBOR00113</t>
  </si>
  <si>
    <t>PBOR00114</t>
  </si>
  <si>
    <t>PBOR00115</t>
  </si>
  <si>
    <t>PBOR00116</t>
  </si>
  <si>
    <t>PBOR00117</t>
  </si>
  <si>
    <t>PBOR00118</t>
  </si>
  <si>
    <t>PBOR00119</t>
  </si>
  <si>
    <t>PBOR00120</t>
  </si>
  <si>
    <t>PBOR00121</t>
  </si>
  <si>
    <t>PBOR00122</t>
  </si>
  <si>
    <t>PBOR00123</t>
  </si>
  <si>
    <t>PBOR00124</t>
  </si>
  <si>
    <t>PBOR00125</t>
  </si>
  <si>
    <t>PBOR00126</t>
  </si>
  <si>
    <t>PBOR00127</t>
  </si>
  <si>
    <t>PBOR00128</t>
  </si>
  <si>
    <t>PBOR00129</t>
  </si>
  <si>
    <t>PBOR00130</t>
  </si>
  <si>
    <t>PBOR00131</t>
  </si>
  <si>
    <t>PBOR00132</t>
  </si>
  <si>
    <t>PBOR00133</t>
  </si>
  <si>
    <t>PBOR00134</t>
  </si>
  <si>
    <t>PBOR00135</t>
  </si>
  <si>
    <t>PBOR00136</t>
  </si>
  <si>
    <t>PBOR00137</t>
  </si>
  <si>
    <t>PBOR00138</t>
  </si>
  <si>
    <t>PBOR00139</t>
  </si>
  <si>
    <t>PBOR00140</t>
  </si>
  <si>
    <t>PBOR00141</t>
  </si>
  <si>
    <t>PBOR00142</t>
  </si>
  <si>
    <t>PBOR00143</t>
  </si>
  <si>
    <t>PBOR00144</t>
  </si>
  <si>
    <t>PBOR00145</t>
  </si>
  <si>
    <t>PBOR00146</t>
  </si>
  <si>
    <t>PBOR00147</t>
  </si>
  <si>
    <t>PBOR00148</t>
  </si>
  <si>
    <t>PBOR00149</t>
  </si>
  <si>
    <t>PBOR00150</t>
  </si>
  <si>
    <t>PBOR00151</t>
  </si>
  <si>
    <t>PBOR00152</t>
  </si>
  <si>
    <t>PBOR00153</t>
  </si>
  <si>
    <t>PBOR00154</t>
  </si>
  <si>
    <t>PBOR00155</t>
  </si>
  <si>
    <t>PBOR00156</t>
  </si>
  <si>
    <t>PBOR00157</t>
  </si>
  <si>
    <t>PBOR00158</t>
  </si>
  <si>
    <t>PBOR00159</t>
  </si>
  <si>
    <t>PBOR00160</t>
  </si>
  <si>
    <t>PBOR00161</t>
  </si>
  <si>
    <t>PBOR00162</t>
  </si>
  <si>
    <t>PBOR00163</t>
  </si>
  <si>
    <t>PBOR00164</t>
  </si>
  <si>
    <t>PBOR00165</t>
  </si>
  <si>
    <t>PBOR00166</t>
  </si>
  <si>
    <t>PBOR00167</t>
  </si>
  <si>
    <t>PBOR00168</t>
  </si>
  <si>
    <t>PBOR00169</t>
  </si>
  <si>
    <t>PBOR00170</t>
  </si>
  <si>
    <t>PBOR00171</t>
  </si>
  <si>
    <t>PBOR00172</t>
  </si>
  <si>
    <t>PBOR00173</t>
  </si>
  <si>
    <t>PBOR00174</t>
  </si>
  <si>
    <t>PBOR00175</t>
  </si>
  <si>
    <t>PBOR00176</t>
  </si>
  <si>
    <t>PBOR00177</t>
  </si>
  <si>
    <t>PBOR00178</t>
  </si>
  <si>
    <t>PBOR00179</t>
  </si>
  <si>
    <t>PBOR00180</t>
  </si>
  <si>
    <t>PBOR00181</t>
  </si>
  <si>
    <t>PBOR00182</t>
  </si>
  <si>
    <t>PBOR00183</t>
  </si>
  <si>
    <t>PBOR00184</t>
  </si>
  <si>
    <t>PBOR00185</t>
  </si>
  <si>
    <t>PBOR00186</t>
  </si>
  <si>
    <t>PBOR00187</t>
  </si>
  <si>
    <t>PBOR00188</t>
  </si>
  <si>
    <t>PBOR00189</t>
  </si>
  <si>
    <t>PBOR00190</t>
  </si>
  <si>
    <t>PBOR00191</t>
  </si>
  <si>
    <t>PBOR00192</t>
  </si>
  <si>
    <t>PBOR00193</t>
  </si>
  <si>
    <t>PBOR00194</t>
  </si>
  <si>
    <t>PBOR00195</t>
  </si>
  <si>
    <t>PBOR00196</t>
  </si>
  <si>
    <t>PBOR00197</t>
  </si>
  <si>
    <t>PBOR00198</t>
  </si>
  <si>
    <t>PBOR00199</t>
  </si>
  <si>
    <t>PBOR00200</t>
  </si>
  <si>
    <t>PBOR00201</t>
  </si>
  <si>
    <t>PBOR00202</t>
  </si>
  <si>
    <t>PBOR00203</t>
  </si>
  <si>
    <t>PBOR00204</t>
  </si>
  <si>
    <t>PBOR00205</t>
  </si>
  <si>
    <t>PBOR00206</t>
  </si>
  <si>
    <t>PBOR00207</t>
  </si>
  <si>
    <t>PBOR00208</t>
  </si>
  <si>
    <t>PBOR00209</t>
  </si>
  <si>
    <t>PBOR00210</t>
  </si>
  <si>
    <t>PBOR00211</t>
  </si>
  <si>
    <t>PBOR00212</t>
  </si>
  <si>
    <t>PBOR00213</t>
  </si>
  <si>
    <t>PBOR00214</t>
  </si>
  <si>
    <t>PBOR00215</t>
  </si>
  <si>
    <t>PBOR00216</t>
  </si>
  <si>
    <t>PBOR00217</t>
  </si>
  <si>
    <t>PBOR00218</t>
  </si>
  <si>
    <t>PBOR00219</t>
  </si>
  <si>
    <t>PBOR00220</t>
  </si>
  <si>
    <t>PBOR00221</t>
  </si>
  <si>
    <t>PBOR00222</t>
  </si>
  <si>
    <t>PBOR00223</t>
  </si>
  <si>
    <t>PBOR00224</t>
  </si>
  <si>
    <t>PBOR00225</t>
  </si>
  <si>
    <t>PBOR00226</t>
  </si>
  <si>
    <t>PBOR00227</t>
  </si>
  <si>
    <t>PBOR00228</t>
  </si>
  <si>
    <t>PBOR00229</t>
  </si>
  <si>
    <t>PBOR00230</t>
  </si>
  <si>
    <t>PBOR00231</t>
  </si>
  <si>
    <t>PBOR00232</t>
  </si>
  <si>
    <t>PBOR00233</t>
  </si>
  <si>
    <t>PBOR00234</t>
  </si>
  <si>
    <t>PBOR00235</t>
  </si>
  <si>
    <t>PBOR00236</t>
  </si>
  <si>
    <t>PBOR00237</t>
  </si>
  <si>
    <t>PBOR00238</t>
  </si>
  <si>
    <t>PBOR00239</t>
  </si>
  <si>
    <t>PBOR00240</t>
  </si>
  <si>
    <t>PBOR00241</t>
  </si>
  <si>
    <t>PBOR00242</t>
  </si>
  <si>
    <t>PBOR00243</t>
  </si>
  <si>
    <t>PBOR00244</t>
  </si>
  <si>
    <t>PBOR00245</t>
  </si>
  <si>
    <t>PBOR00246</t>
  </si>
  <si>
    <t>PBOR00247</t>
  </si>
  <si>
    <t>PBOR00248</t>
  </si>
  <si>
    <t>PBOR00249</t>
  </si>
  <si>
    <t>PBOR00250</t>
  </si>
  <si>
    <t>PBOR00251</t>
  </si>
  <si>
    <t>PBOR00252</t>
  </si>
  <si>
    <t>PBOR00253</t>
  </si>
  <si>
    <t>PBOR00254</t>
  </si>
  <si>
    <t>PBOR00255</t>
  </si>
  <si>
    <t>PBOR00256</t>
  </si>
  <si>
    <t>PBOR00257</t>
  </si>
  <si>
    <t>PBOR00258</t>
  </si>
  <si>
    <t>PBOR00259</t>
  </si>
  <si>
    <t>PBOR00260</t>
  </si>
  <si>
    <t>PBOR00261</t>
  </si>
  <si>
    <t>PBOR00262</t>
  </si>
  <si>
    <t>PBOR00263</t>
  </si>
  <si>
    <t>PBOR00264</t>
  </si>
  <si>
    <t>PBOR00265</t>
  </si>
  <si>
    <t>PBOR00266</t>
  </si>
  <si>
    <t>PBOR00267</t>
  </si>
  <si>
    <t>PBOR00268</t>
  </si>
  <si>
    <t>PBOR00269</t>
  </si>
  <si>
    <t>PBOR00270</t>
  </si>
  <si>
    <t>PBOR00271</t>
  </si>
  <si>
    <t>PBOR00272</t>
  </si>
  <si>
    <t>PBOR00273</t>
  </si>
  <si>
    <t>PBOR00274</t>
  </si>
  <si>
    <t>PBOR00275</t>
  </si>
  <si>
    <t>PBOR00276</t>
  </si>
  <si>
    <t>PBOR00277</t>
  </si>
  <si>
    <t>PBOR00278</t>
  </si>
  <si>
    <t>PBOR00279</t>
  </si>
  <si>
    <t>PBOR00280</t>
  </si>
  <si>
    <t>PBOR00281</t>
  </si>
  <si>
    <t>PBOR00282</t>
  </si>
  <si>
    <t>PBOR00283</t>
  </si>
  <si>
    <t>PBOR00284</t>
  </si>
  <si>
    <t>PBOR00285</t>
  </si>
  <si>
    <t>PBOR00286</t>
  </si>
  <si>
    <t>PBOR00287</t>
  </si>
  <si>
    <t>PBOR00288</t>
  </si>
  <si>
    <t>PBOR00289</t>
  </si>
  <si>
    <t>PBOR00290</t>
  </si>
  <si>
    <t>PBOR00291</t>
  </si>
  <si>
    <t>PBOR00292</t>
  </si>
  <si>
    <t>PBOR00293</t>
  </si>
  <si>
    <t>PBOR00294</t>
  </si>
  <si>
    <t>PBOR00295</t>
  </si>
  <si>
    <t>PBOR00296</t>
  </si>
  <si>
    <t>PBOR00297</t>
  </si>
  <si>
    <t>PBOR00298</t>
  </si>
  <si>
    <t>PBOR00299</t>
  </si>
  <si>
    <t>PBOR00300</t>
  </si>
  <si>
    <t>PBOR00301</t>
  </si>
  <si>
    <t>PBOR00302</t>
  </si>
  <si>
    <t>PBOR00303</t>
  </si>
  <si>
    <t>PBOR00304</t>
  </si>
  <si>
    <t>PBOR00305</t>
  </si>
  <si>
    <t>PBOR00306</t>
  </si>
  <si>
    <t>PBOR00307</t>
  </si>
  <si>
    <t>PBOR00308</t>
  </si>
  <si>
    <t>PBOR00309</t>
  </si>
  <si>
    <t>PBOR00310</t>
  </si>
  <si>
    <t>PBOR00311</t>
  </si>
  <si>
    <t>PBOR00312</t>
  </si>
  <si>
    <t>PBOR00313</t>
  </si>
  <si>
    <t>PBOR00314</t>
  </si>
  <si>
    <t>PBOR00315</t>
  </si>
  <si>
    <t>PBOR00316</t>
  </si>
  <si>
    <t>PBOR00317</t>
  </si>
  <si>
    <t>PBOR00318</t>
  </si>
  <si>
    <t>PBOR00319</t>
  </si>
  <si>
    <t>PBOR00320</t>
  </si>
  <si>
    <t>PBOR00321</t>
  </si>
  <si>
    <t>PBOR00322</t>
  </si>
  <si>
    <t>PBOR00323</t>
  </si>
  <si>
    <t>PBOR00324</t>
  </si>
  <si>
    <t>PBOR00325</t>
  </si>
  <si>
    <t>PBOR00326</t>
  </si>
  <si>
    <t>PBOR00327</t>
  </si>
  <si>
    <t>PBOR00328</t>
  </si>
  <si>
    <t>PBOR00329</t>
  </si>
  <si>
    <t>PBOR00330</t>
  </si>
  <si>
    <t>PBOR00331</t>
  </si>
  <si>
    <t>PBOR00332</t>
  </si>
  <si>
    <t>PBOR00333</t>
  </si>
  <si>
    <t>PBOR00334</t>
  </si>
  <si>
    <t>PBOR00335</t>
  </si>
  <si>
    <t>PBOR00336</t>
  </si>
  <si>
    <t>PBOR00337</t>
  </si>
  <si>
    <t>PBOR00338</t>
  </si>
  <si>
    <t>PBOR00339</t>
  </si>
  <si>
    <t>PBOR00340</t>
  </si>
  <si>
    <t>PBOR00341</t>
  </si>
  <si>
    <t>PBOR00342</t>
  </si>
  <si>
    <t>PBOR00343</t>
  </si>
  <si>
    <t>PBOR00344</t>
  </si>
  <si>
    <t>PBOR00345</t>
  </si>
  <si>
    <t>PBOR00346</t>
  </si>
  <si>
    <t>PBOR00347</t>
  </si>
  <si>
    <t>PBOR00348</t>
  </si>
  <si>
    <t>PBOR00349</t>
  </si>
  <si>
    <t>PBOR00350</t>
  </si>
  <si>
    <t>PBOR00351</t>
  </si>
  <si>
    <t>PBOR00352</t>
  </si>
  <si>
    <t>PBOR00353</t>
  </si>
  <si>
    <t>PBOR00354</t>
  </si>
  <si>
    <t>PBOR00355</t>
  </si>
  <si>
    <t>PBOR00356</t>
  </si>
  <si>
    <t>PBOR00357</t>
  </si>
  <si>
    <t>PBOR00358</t>
  </si>
  <si>
    <t>PBOR00359</t>
  </si>
  <si>
    <t>PBOR00360</t>
  </si>
  <si>
    <t>PBOR00361</t>
  </si>
  <si>
    <t>PBOR00362</t>
  </si>
  <si>
    <t>PBOR00363</t>
  </si>
  <si>
    <t>PBOR00364</t>
  </si>
  <si>
    <t>PBOR00365</t>
  </si>
  <si>
    <t>PBOR00366</t>
  </si>
  <si>
    <t>PBOR00367</t>
  </si>
  <si>
    <t>PBOR00368</t>
  </si>
  <si>
    <t>PBOR00369</t>
  </si>
  <si>
    <t>PBOR00370</t>
  </si>
  <si>
    <t>PBOR00371</t>
  </si>
  <si>
    <t>PBOR00372</t>
  </si>
  <si>
    <t>PBOR00373</t>
  </si>
  <si>
    <t>PBOR00374</t>
  </si>
  <si>
    <t>PBOR00375</t>
  </si>
  <si>
    <t>PBOR00376</t>
  </si>
  <si>
    <t>PBOR00377</t>
  </si>
  <si>
    <t>PBOR00378</t>
  </si>
  <si>
    <t>PBOR00379</t>
  </si>
  <si>
    <t>PBOR00380</t>
  </si>
  <si>
    <t>PBOR00381</t>
  </si>
  <si>
    <t>PBOR00382</t>
  </si>
  <si>
    <t>PBOR00383</t>
  </si>
  <si>
    <t>PBOR00384</t>
  </si>
  <si>
    <t>PBOR00385</t>
  </si>
  <si>
    <t>PBOR00386</t>
  </si>
  <si>
    <t>PBOR00387</t>
  </si>
  <si>
    <t>PBOR00388</t>
  </si>
  <si>
    <t>PBOR00389</t>
  </si>
  <si>
    <t>PBOR00390</t>
  </si>
  <si>
    <t>PBOR00391</t>
  </si>
  <si>
    <t>PBOR00392</t>
  </si>
  <si>
    <t>PBOR00393</t>
  </si>
  <si>
    <t>PBOR00394</t>
  </si>
  <si>
    <t>PBOR00395</t>
  </si>
  <si>
    <t>PBOR00396</t>
  </si>
  <si>
    <t>PBOR00397</t>
  </si>
  <si>
    <t>PBOR00398</t>
  </si>
  <si>
    <t>PBOR00399</t>
  </si>
  <si>
    <t>PBOR00400</t>
  </si>
  <si>
    <t>PBOR00401</t>
  </si>
  <si>
    <t>PBOR00402</t>
  </si>
  <si>
    <t>PBOR00403</t>
  </si>
  <si>
    <t>PBOR00404</t>
  </si>
  <si>
    <t>PBOR00405</t>
  </si>
  <si>
    <t>PBOR00406</t>
  </si>
  <si>
    <t>PBOR00407</t>
  </si>
  <si>
    <t>PBOR00408</t>
  </si>
  <si>
    <t>PBOR00409</t>
  </si>
  <si>
    <t>PBOR00410</t>
  </si>
  <si>
    <t>PBOR00411</t>
  </si>
  <si>
    <t>PBOR00412</t>
  </si>
  <si>
    <t>PBOR00413</t>
  </si>
  <si>
    <t>PBOR00414</t>
  </si>
  <si>
    <t>PBOR00415</t>
  </si>
  <si>
    <t>PBOR00416</t>
  </si>
  <si>
    <t>PBOR00417</t>
  </si>
  <si>
    <t>PBOR00418</t>
  </si>
  <si>
    <t>PBOR00419</t>
  </si>
  <si>
    <t>PBOR00420</t>
  </si>
  <si>
    <t>PBOR00421</t>
  </si>
  <si>
    <t>PBOR00422</t>
  </si>
  <si>
    <t>PBOR00423</t>
  </si>
  <si>
    <t>PBOR00424</t>
  </si>
  <si>
    <t>PBOR00425</t>
  </si>
  <si>
    <t>PBOR00426</t>
  </si>
  <si>
    <t>PBOR00427</t>
  </si>
  <si>
    <t>PBOR00428</t>
  </si>
  <si>
    <t>PBOR00429</t>
  </si>
  <si>
    <t>PBOR00430</t>
  </si>
  <si>
    <t>PBOR00431</t>
  </si>
  <si>
    <t>PBOR00432</t>
  </si>
  <si>
    <t>PBOR00433</t>
  </si>
  <si>
    <t>PBOR00434</t>
  </si>
  <si>
    <t>PBOR00435</t>
  </si>
  <si>
    <t>PBOR00436</t>
  </si>
  <si>
    <t>PBOR00437</t>
  </si>
  <si>
    <t>PBOR00438</t>
  </si>
  <si>
    <t>PBOR00439</t>
  </si>
  <si>
    <t>PBOR00440</t>
  </si>
  <si>
    <t>PBOR00441</t>
  </si>
  <si>
    <t>PBOR00442</t>
  </si>
  <si>
    <t>PBOR00443</t>
  </si>
  <si>
    <t>PBOR00444</t>
  </si>
  <si>
    <t>PBOR00445</t>
  </si>
  <si>
    <t>PBOR00446</t>
  </si>
  <si>
    <t>PBOR00447</t>
  </si>
  <si>
    <t>PBOR00448</t>
  </si>
  <si>
    <t>PBOR00449</t>
  </si>
  <si>
    <t>PBOR00450</t>
  </si>
  <si>
    <t>PBOR00451</t>
  </si>
  <si>
    <t>PBOR00452</t>
  </si>
  <si>
    <t>PBOR00453</t>
  </si>
  <si>
    <t>PBOR00454</t>
  </si>
  <si>
    <t>PBOR00455</t>
  </si>
  <si>
    <t>PBOR00456</t>
  </si>
  <si>
    <t>PBOR00457</t>
  </si>
  <si>
    <t>PBOR00458</t>
  </si>
  <si>
    <t>PBOR00459</t>
  </si>
  <si>
    <t>PBOR00460</t>
  </si>
  <si>
    <t>PBOR00461</t>
  </si>
  <si>
    <t>PBOR00462</t>
  </si>
  <si>
    <t>PBOR00463</t>
  </si>
  <si>
    <t>PBOR00464</t>
  </si>
  <si>
    <t>PBOR00465</t>
  </si>
  <si>
    <t>PBOR00466</t>
  </si>
  <si>
    <t>PBOR00467</t>
  </si>
  <si>
    <t>PBOR00468</t>
  </si>
  <si>
    <t>PBOR00469</t>
  </si>
  <si>
    <t>PBOR00470</t>
  </si>
  <si>
    <t>PBOR00471</t>
  </si>
  <si>
    <t>PBOR00472</t>
  </si>
  <si>
    <t>PBOR00473</t>
  </si>
  <si>
    <t>PBOR00474</t>
  </si>
  <si>
    <t>PBOR00475</t>
  </si>
  <si>
    <t>PBOR00476</t>
  </si>
  <si>
    <t>PBOR00477</t>
  </si>
  <si>
    <t>PBOR00478</t>
  </si>
  <si>
    <t>PBOR00479</t>
  </si>
  <si>
    <t>PBOR00480</t>
  </si>
  <si>
    <t>PBOR00481</t>
  </si>
  <si>
    <t>PBOR00482</t>
  </si>
  <si>
    <t>PBOR00483</t>
  </si>
  <si>
    <t>PBOR00484</t>
  </si>
  <si>
    <t>PBOR00485</t>
  </si>
  <si>
    <t>PBOR00486</t>
  </si>
  <si>
    <t>PBOR00487</t>
  </si>
  <si>
    <t>PBOR00488</t>
  </si>
  <si>
    <t>PBOR00489</t>
  </si>
  <si>
    <t>PBOR00490</t>
  </si>
  <si>
    <t>PBOR00491</t>
  </si>
  <si>
    <t>PBOR00492</t>
  </si>
  <si>
    <t>PBOR00493</t>
  </si>
  <si>
    <t>PBOR00494</t>
  </si>
  <si>
    <t>PBOR00495</t>
  </si>
  <si>
    <t>PBOR00496</t>
  </si>
  <si>
    <t>PBOR00497</t>
  </si>
  <si>
    <t>PBOR00498</t>
  </si>
  <si>
    <t>PBOR00499</t>
  </si>
  <si>
    <t>PBOR00500</t>
  </si>
  <si>
    <t>PBOR00501</t>
  </si>
  <si>
    <t>PBOR00502</t>
  </si>
  <si>
    <t>PBOR00503</t>
  </si>
  <si>
    <t>PBOR00504</t>
  </si>
  <si>
    <t>PBOR00505</t>
  </si>
  <si>
    <t>PBOR00506</t>
  </si>
  <si>
    <t>PBOR00507</t>
  </si>
  <si>
    <t>PBOR00508</t>
  </si>
  <si>
    <t>PBOR00509</t>
  </si>
  <si>
    <t>PBOR00510</t>
  </si>
  <si>
    <t>PBOR00511</t>
  </si>
  <si>
    <t>PBOR00512</t>
  </si>
  <si>
    <t>PBOR00513</t>
  </si>
  <si>
    <t>PBOR00514</t>
  </si>
  <si>
    <t>PBOR00515</t>
  </si>
  <si>
    <t>PBOR00516</t>
  </si>
  <si>
    <t>PBOR00517</t>
  </si>
  <si>
    <t>PBOR00518</t>
  </si>
  <si>
    <t>PBOR00519</t>
  </si>
  <si>
    <t>PBOR00520</t>
  </si>
  <si>
    <t>PBOR00521</t>
  </si>
  <si>
    <t>PBOR00522</t>
  </si>
  <si>
    <t>PBOR00523</t>
  </si>
  <si>
    <t>PBOR00524</t>
  </si>
  <si>
    <t>PBOR00525</t>
  </si>
  <si>
    <t>PBOR00526</t>
  </si>
  <si>
    <t>PBOR00527</t>
  </si>
  <si>
    <t>PBOR00528</t>
  </si>
  <si>
    <t>PBOR00529</t>
  </si>
  <si>
    <t>PBOR00530</t>
  </si>
  <si>
    <t>PBOR00531</t>
  </si>
  <si>
    <t>PBOR00532</t>
  </si>
  <si>
    <t>PBOR00533</t>
  </si>
  <si>
    <t>PBOR00534</t>
  </si>
  <si>
    <t>PBOR00535</t>
  </si>
  <si>
    <t>PBOR00536</t>
  </si>
  <si>
    <t>PBOR00537</t>
  </si>
  <si>
    <t>PBOR00538</t>
  </si>
  <si>
    <t>PBOR00539</t>
  </si>
  <si>
    <t>PBOR00540</t>
  </si>
  <si>
    <t>PBOR00541</t>
  </si>
  <si>
    <t>PBOR00542</t>
  </si>
  <si>
    <t>PBOR00543</t>
  </si>
  <si>
    <t>PBOR00544</t>
  </si>
  <si>
    <t>PBOR00545</t>
  </si>
  <si>
    <t>PBOR00546</t>
  </si>
  <si>
    <t>PBOR00547</t>
  </si>
  <si>
    <t>PBOR00548</t>
  </si>
  <si>
    <t>PBOR00549</t>
  </si>
  <si>
    <t>PBOR00550</t>
  </si>
  <si>
    <t>PBOR00551</t>
  </si>
  <si>
    <t>PBOR00552</t>
  </si>
  <si>
    <t>PBOR00553</t>
  </si>
  <si>
    <t>PBOR00554</t>
  </si>
  <si>
    <t>PBOR00555</t>
  </si>
  <si>
    <t>PBOR00556</t>
  </si>
  <si>
    <t>PBOR00557</t>
  </si>
  <si>
    <t>PBOR00558</t>
  </si>
  <si>
    <t>PBOR00559</t>
  </si>
  <si>
    <t>PBOR00560</t>
  </si>
  <si>
    <t>PBOR00561</t>
  </si>
  <si>
    <t>PBOR00562</t>
  </si>
  <si>
    <t>PBOR00563</t>
  </si>
  <si>
    <t>PBOR00564</t>
  </si>
  <si>
    <t>PBOR00565</t>
  </si>
  <si>
    <t>PBOR00566</t>
  </si>
  <si>
    <t>PBOR00567</t>
  </si>
  <si>
    <t>PBOR00568</t>
  </si>
  <si>
    <t>PBOR00569</t>
  </si>
  <si>
    <t>PBOR00570</t>
  </si>
  <si>
    <t>PBOR00571</t>
  </si>
  <si>
    <t>PBOR00572</t>
  </si>
  <si>
    <t>PBOR00573</t>
  </si>
  <si>
    <t>PBOR00574</t>
  </si>
  <si>
    <t>PBOR00575</t>
  </si>
  <si>
    <t>PBOR00576</t>
  </si>
  <si>
    <t>PBOR00577</t>
  </si>
  <si>
    <t>PBOR00578</t>
  </si>
  <si>
    <t>PBOR00579</t>
  </si>
  <si>
    <t>PBOR00580</t>
  </si>
  <si>
    <t>PBOR00581</t>
  </si>
  <si>
    <t>PBOR00582</t>
  </si>
  <si>
    <t>PBOR00583</t>
  </si>
  <si>
    <t>PBOR00584</t>
  </si>
  <si>
    <t>PBOR00585</t>
  </si>
  <si>
    <t>PBOR00586</t>
  </si>
  <si>
    <t>PBOR00587</t>
  </si>
  <si>
    <t>PBOR00588</t>
  </si>
  <si>
    <t>PBOR00589</t>
  </si>
  <si>
    <t>PBOR00590</t>
  </si>
  <si>
    <t>PBOR00591</t>
  </si>
  <si>
    <t>PBOR00592</t>
  </si>
  <si>
    <t>PBOR00593</t>
  </si>
  <si>
    <t>PBOR00594</t>
  </si>
  <si>
    <t>PBOR00595</t>
  </si>
  <si>
    <t>PBOR00596</t>
  </si>
  <si>
    <t>PBOR00597</t>
  </si>
  <si>
    <t>PBOR00598</t>
  </si>
  <si>
    <t>PBOR00599</t>
  </si>
  <si>
    <t>PBOR00600</t>
  </si>
  <si>
    <t>PBOR00601</t>
  </si>
  <si>
    <t>PBOR00602</t>
  </si>
  <si>
    <t>PBOR00603</t>
  </si>
  <si>
    <t>PBOR00604</t>
  </si>
  <si>
    <t>PBOR00605</t>
  </si>
  <si>
    <t>PBOR00606</t>
  </si>
  <si>
    <t>PBOR00607</t>
  </si>
  <si>
    <t>PBOR00608</t>
  </si>
  <si>
    <t>PBOR00609</t>
  </si>
  <si>
    <t>PBOR00610</t>
  </si>
  <si>
    <t>PBOR00611</t>
  </si>
  <si>
    <t>PBOR00612</t>
  </si>
  <si>
    <t>PBOR00613</t>
  </si>
  <si>
    <t>PBOR00614</t>
  </si>
  <si>
    <t>PBOR00615</t>
  </si>
  <si>
    <t>PBOR00616</t>
  </si>
  <si>
    <t>PBOR00617</t>
  </si>
  <si>
    <t>PBOR00618</t>
  </si>
  <si>
    <t>PBOR00619</t>
  </si>
  <si>
    <t>PBOR00620</t>
  </si>
  <si>
    <t>PBOR00621</t>
  </si>
  <si>
    <t>PBOR00622</t>
  </si>
  <si>
    <t>PBOR00623</t>
  </si>
  <si>
    <t>PBOR00624</t>
  </si>
  <si>
    <t>PBOR00625</t>
  </si>
  <si>
    <t>PBOR00626</t>
  </si>
  <si>
    <t>PBOR00627</t>
  </si>
  <si>
    <t>PBOR00628</t>
  </si>
  <si>
    <t>PBOR00629</t>
  </si>
  <si>
    <t>PBOR00630</t>
  </si>
  <si>
    <t>PBOR00631</t>
  </si>
  <si>
    <t>PBOR00632</t>
  </si>
  <si>
    <t>PBOR00633</t>
  </si>
  <si>
    <t>PBOR00634</t>
  </si>
  <si>
    <t>PBOR00635</t>
  </si>
  <si>
    <t>PBOR00636</t>
  </si>
  <si>
    <t>PBOR00637</t>
  </si>
  <si>
    <t>PBOR00638</t>
  </si>
  <si>
    <t>PBOR00639</t>
  </si>
  <si>
    <t>PBOR00640</t>
  </si>
  <si>
    <t>PBOR00641</t>
  </si>
  <si>
    <t>PBOR00642</t>
  </si>
  <si>
    <t>PBOR00643</t>
  </si>
  <si>
    <t>PBOR00644</t>
  </si>
  <si>
    <t>PBOR00645</t>
  </si>
  <si>
    <t>PBOR00646</t>
  </si>
  <si>
    <t>PBOR00647</t>
  </si>
  <si>
    <t>PBOR00648</t>
  </si>
  <si>
    <t>PBOR00649</t>
  </si>
  <si>
    <t>PBOR00650</t>
  </si>
  <si>
    <t>PBOR00651</t>
  </si>
  <si>
    <t>PBOR00652</t>
  </si>
  <si>
    <t>PBOR00653</t>
  </si>
  <si>
    <t>PBOR00654</t>
  </si>
  <si>
    <t>PBOR00655</t>
  </si>
  <si>
    <t>PBOR00656</t>
  </si>
  <si>
    <t>PBOR00657</t>
  </si>
  <si>
    <t>PBOR00658</t>
  </si>
  <si>
    <t>PBOR00659</t>
  </si>
  <si>
    <t>PBOR00660</t>
  </si>
  <si>
    <t>PBOR00661</t>
  </si>
  <si>
    <t>PBOR00662</t>
  </si>
  <si>
    <t>PBOR00663</t>
  </si>
  <si>
    <t>PBOR00664</t>
  </si>
  <si>
    <t>PBOR00665</t>
  </si>
  <si>
    <t>PBOR00666</t>
  </si>
  <si>
    <t>PBOR00667</t>
  </si>
  <si>
    <t>PBOR00668</t>
  </si>
  <si>
    <t>PBOR00669</t>
  </si>
  <si>
    <t>PBOR00670</t>
  </si>
  <si>
    <t>PBOR00671</t>
  </si>
  <si>
    <t>PBOR00672</t>
  </si>
  <si>
    <t>PBOR00673</t>
  </si>
  <si>
    <t>PBOR00674</t>
  </si>
  <si>
    <t>PBOR00675</t>
  </si>
  <si>
    <t>PBOR00676</t>
  </si>
  <si>
    <t>PBOR00677</t>
  </si>
  <si>
    <t>PBOR00678</t>
  </si>
  <si>
    <t>PBOR00679</t>
  </si>
  <si>
    <t>PBOR00680</t>
  </si>
  <si>
    <t>PBOR00681</t>
  </si>
  <si>
    <t>PBOR00682</t>
  </si>
  <si>
    <t>PBOR00683</t>
  </si>
  <si>
    <t>PBOR00684</t>
  </si>
  <si>
    <t>PBOR00685</t>
  </si>
  <si>
    <t>PBOR00686</t>
  </si>
  <si>
    <t>PBOR00687</t>
  </si>
  <si>
    <t>PBOR00688</t>
  </si>
  <si>
    <t>PBOR00689</t>
  </si>
  <si>
    <t>PBOR00690</t>
  </si>
  <si>
    <t>PBOR00691</t>
  </si>
  <si>
    <t>PBOR00692</t>
  </si>
  <si>
    <t>PBOR00693</t>
  </si>
  <si>
    <t>PBOR00694</t>
  </si>
  <si>
    <t>PBOR00695</t>
  </si>
  <si>
    <t>PBOR00696</t>
  </si>
  <si>
    <t>PBOR00697</t>
  </si>
  <si>
    <t>PBOR00698</t>
  </si>
  <si>
    <t>PBOR00699</t>
  </si>
  <si>
    <t>PBOR00700</t>
  </si>
  <si>
    <t>PBOR00701</t>
  </si>
  <si>
    <t>PBOR00702</t>
  </si>
  <si>
    <t>PBOR00703</t>
  </si>
  <si>
    <t>PBOR00704</t>
  </si>
  <si>
    <t>PBOR00705</t>
  </si>
  <si>
    <t>PBOR00706</t>
  </si>
  <si>
    <t>PBOR00707</t>
  </si>
  <si>
    <t>PBOR00708</t>
  </si>
  <si>
    <t>PBOR00709</t>
  </si>
  <si>
    <t>PBOR00710</t>
  </si>
  <si>
    <t>PBOR00711</t>
  </si>
  <si>
    <t>PBOR00712</t>
  </si>
  <si>
    <t>PBOR00713</t>
  </si>
  <si>
    <t>PBOR00714</t>
  </si>
  <si>
    <t>PBOR00715</t>
  </si>
  <si>
    <t>PBOR00716</t>
  </si>
  <si>
    <t>PBOR00717</t>
  </si>
  <si>
    <t>PBOR00718</t>
  </si>
  <si>
    <t>PBOR00719</t>
  </si>
  <si>
    <t>PBOR00720</t>
  </si>
  <si>
    <t>PBOR00721</t>
  </si>
  <si>
    <t>PBOR00722</t>
  </si>
  <si>
    <t>PBOR00723</t>
  </si>
  <si>
    <t>PBOR00724</t>
  </si>
  <si>
    <t>PBOR00725</t>
  </si>
  <si>
    <t>PBOR00726</t>
  </si>
  <si>
    <t>PBOR00727</t>
  </si>
  <si>
    <t>PBOR00728</t>
  </si>
  <si>
    <t>PBOR00729</t>
  </si>
  <si>
    <t>PBOR00730</t>
  </si>
  <si>
    <t>PBOR00731</t>
  </si>
  <si>
    <t>PBOR00732</t>
  </si>
  <si>
    <t>PBOR00733</t>
  </si>
  <si>
    <t>PBOR00734</t>
  </si>
  <si>
    <t>PBOR00735</t>
  </si>
  <si>
    <t>PBOR00736</t>
  </si>
  <si>
    <t>PBOR00737</t>
  </si>
  <si>
    <t>PBOR00738</t>
  </si>
  <si>
    <t>PBOR00739</t>
  </si>
  <si>
    <t>PBOR00740</t>
  </si>
  <si>
    <t>PBOR00741</t>
  </si>
  <si>
    <t>PBOR00742</t>
  </si>
  <si>
    <t>PBOR00743</t>
  </si>
  <si>
    <t>PBOR00744</t>
  </si>
  <si>
    <t>PBOR00745</t>
  </si>
  <si>
    <t>PBOR00746</t>
  </si>
  <si>
    <t>PBOR00747</t>
  </si>
  <si>
    <t>PBOR00748</t>
  </si>
  <si>
    <t>PBOR00749</t>
  </si>
  <si>
    <t>PBOR00750</t>
  </si>
  <si>
    <t>PBOR00751</t>
  </si>
  <si>
    <t>PBOR00752</t>
  </si>
  <si>
    <t>PBOR00753</t>
  </si>
  <si>
    <t>PBOR00754</t>
  </si>
  <si>
    <t>PBOR00755</t>
  </si>
  <si>
    <t>PBOR00756</t>
  </si>
  <si>
    <t>PBOR00757</t>
  </si>
  <si>
    <t>PBOR00758</t>
  </si>
  <si>
    <t>PBOR00759</t>
  </si>
  <si>
    <t>PBOR00760</t>
  </si>
  <si>
    <t>PBOR00761</t>
  </si>
  <si>
    <t>PBOR00762</t>
  </si>
  <si>
    <t>PBOR00763</t>
  </si>
  <si>
    <t>PBOR00764</t>
  </si>
  <si>
    <t>PBOR00765</t>
  </si>
  <si>
    <t>PBOR00766</t>
  </si>
  <si>
    <t>PBOR00767</t>
  </si>
  <si>
    <t>PBOR00768</t>
  </si>
  <si>
    <t>PBOR00769</t>
  </si>
  <si>
    <t>PBOR00770</t>
  </si>
  <si>
    <t>PBOR00771</t>
  </si>
  <si>
    <t>PBOR00772</t>
  </si>
  <si>
    <t>PBOR00773</t>
  </si>
  <si>
    <t>PBOR00774</t>
  </si>
  <si>
    <t>PBOR00775</t>
  </si>
  <si>
    <t>PBOR00776</t>
  </si>
  <si>
    <t>PBOR00777</t>
  </si>
  <si>
    <t>PBOR00778</t>
  </si>
  <si>
    <t>PBOR00779</t>
  </si>
  <si>
    <t>PBOR00780</t>
  </si>
  <si>
    <t>PBOR00781</t>
  </si>
  <si>
    <t>PBOR00782</t>
  </si>
  <si>
    <t>PBOR00783</t>
  </si>
  <si>
    <t>PBOR00784</t>
  </si>
  <si>
    <t>PBOR00785</t>
  </si>
  <si>
    <t>PBOR00786</t>
  </si>
  <si>
    <t>PBOR00787</t>
  </si>
  <si>
    <t>PBOR00788</t>
  </si>
  <si>
    <t>PBOR00789</t>
  </si>
  <si>
    <t>PBOR00790</t>
  </si>
  <si>
    <t>PBOR00791</t>
  </si>
  <si>
    <t>PBOR00792</t>
  </si>
  <si>
    <t>PBOR00793</t>
  </si>
  <si>
    <t>PBOR00794</t>
  </si>
  <si>
    <t>PBOR00795</t>
  </si>
  <si>
    <t>PBOR00796</t>
  </si>
  <si>
    <t>PBOR00797</t>
  </si>
  <si>
    <t>PBOR00798</t>
  </si>
  <si>
    <t>Discount</t>
  </si>
  <si>
    <t>Total Orders, Total Revenue, Average Revenue, Average Discount Given</t>
  </si>
  <si>
    <t>Most Ordered Products</t>
  </si>
  <si>
    <t>Trend of no of Sales for Each Day</t>
  </si>
  <si>
    <t>Trend of Revenue Generated for each day</t>
  </si>
  <si>
    <t>Trend of Revenue Generated for Each Product</t>
  </si>
  <si>
    <t>Multiple Views for Online and Offline orders (using Slicers)</t>
  </si>
  <si>
    <t>Row Labels</t>
  </si>
  <si>
    <t>15-Jun</t>
  </si>
  <si>
    <t>18-Jun</t>
  </si>
  <si>
    <t>19-Jun</t>
  </si>
  <si>
    <t>20-Jun</t>
  </si>
  <si>
    <t>22-Jun</t>
  </si>
  <si>
    <t>23-Jun</t>
  </si>
  <si>
    <t>24-Jun</t>
  </si>
  <si>
    <t>25-Jun</t>
  </si>
  <si>
    <t>26-Jun</t>
  </si>
  <si>
    <t>28-Jun</t>
  </si>
  <si>
    <t>10-Jul</t>
  </si>
  <si>
    <t>11-Jul</t>
  </si>
  <si>
    <t>14-Jul</t>
  </si>
  <si>
    <t>15-Jul</t>
  </si>
  <si>
    <t>17-Jul</t>
  </si>
  <si>
    <t>20-Jul</t>
  </si>
  <si>
    <t>21-Jul</t>
  </si>
  <si>
    <t>22-Jul</t>
  </si>
  <si>
    <t>23-Jul</t>
  </si>
  <si>
    <t>24-Jul</t>
  </si>
  <si>
    <t>29-Jul</t>
  </si>
  <si>
    <t>30-Jul</t>
  </si>
  <si>
    <t>10-Aug</t>
  </si>
  <si>
    <t>14-Aug</t>
  </si>
  <si>
    <t>15-Aug</t>
  </si>
  <si>
    <t>17-Aug</t>
  </si>
  <si>
    <t>25-Aug</t>
  </si>
  <si>
    <t>26-Aug</t>
  </si>
  <si>
    <t>27-Aug</t>
  </si>
  <si>
    <t>30-Aug</t>
  </si>
  <si>
    <t>Final Sale Price</t>
  </si>
  <si>
    <t>Total Orders</t>
  </si>
  <si>
    <t>Total Revenue</t>
  </si>
  <si>
    <t>Average Revenue</t>
  </si>
  <si>
    <t>Average Discount</t>
  </si>
  <si>
    <t>13-Jun</t>
  </si>
  <si>
    <t>14-Jun</t>
  </si>
  <si>
    <t>16-Jun</t>
  </si>
  <si>
    <t>17-Jun</t>
  </si>
  <si>
    <t>21-Jun</t>
  </si>
  <si>
    <t>27-Jun</t>
  </si>
  <si>
    <t>30-Jun</t>
  </si>
  <si>
    <t>1-Jul</t>
  </si>
  <si>
    <t>2-Jul</t>
  </si>
  <si>
    <t>3-Jul</t>
  </si>
  <si>
    <t>4-Jul</t>
  </si>
  <si>
    <t>5-Jul</t>
  </si>
  <si>
    <t>6-Jul</t>
  </si>
  <si>
    <t>7-Jul</t>
  </si>
  <si>
    <t>8-Jul</t>
  </si>
  <si>
    <t>9-Jul</t>
  </si>
  <si>
    <t>12-Jul</t>
  </si>
  <si>
    <t>13-Jul</t>
  </si>
  <si>
    <t>16-Jul</t>
  </si>
  <si>
    <t>18-Jul</t>
  </si>
  <si>
    <t>19-Jul</t>
  </si>
  <si>
    <t>26-Jul</t>
  </si>
  <si>
    <t>27-Jul</t>
  </si>
  <si>
    <t>28-Jul</t>
  </si>
  <si>
    <t>31-Jul</t>
  </si>
  <si>
    <t>1-Aug</t>
  </si>
  <si>
    <t>2-Aug</t>
  </si>
  <si>
    <t>3-Aug</t>
  </si>
  <si>
    <t>4-Aug</t>
  </si>
  <si>
    <t>5-Aug</t>
  </si>
  <si>
    <t>6-Aug</t>
  </si>
  <si>
    <t>7-Aug</t>
  </si>
  <si>
    <t>8-Aug</t>
  </si>
  <si>
    <t>9-Aug</t>
  </si>
  <si>
    <t>11-Aug</t>
  </si>
  <si>
    <t>12-Aug</t>
  </si>
  <si>
    <t>13-Aug</t>
  </si>
  <si>
    <t>16-Aug</t>
  </si>
  <si>
    <t>18-Aug</t>
  </si>
  <si>
    <t>19-Aug</t>
  </si>
  <si>
    <t>20-Aug</t>
  </si>
  <si>
    <t>21-Aug</t>
  </si>
  <si>
    <t>22-Aug</t>
  </si>
  <si>
    <t>23-Aug</t>
  </si>
  <si>
    <t>24-Aug</t>
  </si>
  <si>
    <t>28-Aug</t>
  </si>
  <si>
    <t>29-Aug</t>
  </si>
  <si>
    <t>31-Aug</t>
  </si>
  <si>
    <t>1-Sep</t>
  </si>
  <si>
    <t>2-Sep</t>
  </si>
  <si>
    <t>3-Sep</t>
  </si>
  <si>
    <t>4-Sep</t>
  </si>
  <si>
    <t>5-Sep</t>
  </si>
  <si>
    <t>6-Sep</t>
  </si>
  <si>
    <t>Date</t>
  </si>
  <si>
    <t>Revenue</t>
  </si>
  <si>
    <t>No. of Sale</t>
  </si>
  <si>
    <t>Count of Product</t>
  </si>
  <si>
    <t>PIZZA BUN SALES DASHBOARD</t>
  </si>
  <si>
    <t>SALES PERFORMANCE  |  JUNE - SEPT 2022</t>
  </si>
  <si>
    <t>No. of orders</t>
  </si>
  <si>
    <t>Sales Overview</t>
  </si>
  <si>
    <t>Product Performance</t>
  </si>
  <si>
    <t>Sales Trend</t>
  </si>
  <si>
    <t>Order Channel</t>
  </si>
  <si>
    <t>Products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</si>
</sst>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39]#,##0.00"/>
  </numFmts>
  <fonts count="10" x14ac:knownFonts="1">
    <font>
      <sz val="11"/>
      <color theme="1"/>
      <name val="Calibri"/>
      <family val="2"/>
      <scheme val="minor"/>
    </font>
    <font>
      <sz val="8"/>
      <name val="Calibri"/>
      <family val="2"/>
      <scheme val="minor"/>
    </font>
    <font>
      <b/>
      <sz val="22"/>
      <color theme="0"/>
      <name val="Calibri"/>
      <family val="2"/>
      <scheme val="minor"/>
    </font>
    <font>
      <b/>
      <sz val="36"/>
      <color rgb="FF1F4E78"/>
      <name val="Calibri"/>
      <family val="2"/>
      <scheme val="minor"/>
    </font>
    <font>
      <b/>
      <sz val="36"/>
      <color theme="0"/>
      <name val="Aptos"/>
      <family val="2"/>
    </font>
    <font>
      <sz val="16"/>
      <color theme="0"/>
      <name val="Calibri"/>
      <family val="2"/>
      <scheme val="minor"/>
    </font>
    <font>
      <b/>
      <sz val="24"/>
      <color rgb="FF7F7F7F"/>
      <name val="Aptos"/>
      <family val="2"/>
    </font>
    <font>
      <b/>
      <sz val="24"/>
      <color theme="1" tint="0.499984740745262"/>
      <name val="Aptos"/>
      <family val="2"/>
    </font>
    <font>
      <b/>
      <sz val="72"/>
      <color rgb="FF1F4E78"/>
      <name val="Calibri"/>
      <family val="2"/>
      <scheme val="minor"/>
    </font>
    <font>
      <b/>
      <sz val="48"/>
      <color rgb="FF1F4E78"/>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rgb="FFFFFFFF"/>
        <bgColor indexed="64"/>
      </patternFill>
    </fill>
    <fill>
      <patternFill patternType="solid">
        <fgColor rgb="FF1F4E78"/>
        <bgColor indexed="64"/>
      </patternFill>
    </fill>
    <fill>
      <patternFill patternType="solid">
        <fgColor theme="0"/>
        <bgColor indexed="64"/>
      </patternFill>
    </fill>
    <fill>
      <patternFill patternType="solid">
        <fgColor rgb="FFD9D9D9"/>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rgb="FF7F7F7F"/>
      </left>
      <right style="thin">
        <color indexed="64"/>
      </right>
      <top style="thin">
        <color rgb="FF7F7F7F"/>
      </top>
      <bottom style="thin">
        <color indexed="64"/>
      </bottom>
      <diagonal/>
    </border>
    <border>
      <left style="thin">
        <color indexed="64"/>
      </left>
      <right style="thin">
        <color indexed="64"/>
      </right>
      <top style="thin">
        <color rgb="FF7F7F7F"/>
      </top>
      <bottom style="thin">
        <color indexed="64"/>
      </bottom>
      <diagonal/>
    </border>
    <border>
      <left style="thin">
        <color indexed="64"/>
      </left>
      <right style="thin">
        <color rgb="FF7F7F7F"/>
      </right>
      <top style="thin">
        <color rgb="FF7F7F7F"/>
      </top>
      <bottom style="thin">
        <color indexed="64"/>
      </bottom>
      <diagonal/>
    </border>
    <border>
      <left style="thin">
        <color rgb="FF7F7F7F"/>
      </left>
      <right style="thin">
        <color indexed="64"/>
      </right>
      <top style="thin">
        <color indexed="64"/>
      </top>
      <bottom style="thin">
        <color indexed="64"/>
      </bottom>
      <diagonal/>
    </border>
    <border>
      <left style="thin">
        <color indexed="64"/>
      </left>
      <right style="thin">
        <color rgb="FF7F7F7F"/>
      </right>
      <top style="thin">
        <color indexed="64"/>
      </top>
      <bottom style="thin">
        <color indexed="64"/>
      </bottom>
      <diagonal/>
    </border>
    <border>
      <left style="thin">
        <color rgb="FF7F7F7F"/>
      </left>
      <right style="thin">
        <color indexed="64"/>
      </right>
      <top style="thin">
        <color indexed="64"/>
      </top>
      <bottom style="thin">
        <color rgb="FF7F7F7F"/>
      </bottom>
      <diagonal/>
    </border>
    <border>
      <left style="thin">
        <color indexed="64"/>
      </left>
      <right style="thin">
        <color indexed="64"/>
      </right>
      <top style="thin">
        <color indexed="64"/>
      </top>
      <bottom style="thin">
        <color rgb="FF7F7F7F"/>
      </bottom>
      <diagonal/>
    </border>
    <border>
      <left style="thin">
        <color indexed="64"/>
      </left>
      <right style="thin">
        <color rgb="FF7F7F7F"/>
      </right>
      <top style="thin">
        <color indexed="64"/>
      </top>
      <bottom style="thin">
        <color rgb="FF7F7F7F"/>
      </bottom>
      <diagonal/>
    </border>
    <border>
      <left style="thin">
        <color rgb="FF7F7F7F"/>
      </left>
      <right/>
      <top/>
      <bottom/>
      <diagonal/>
    </border>
    <border>
      <left style="thin">
        <color rgb="FF7F7F7F"/>
      </left>
      <right/>
      <top style="thin">
        <color rgb="FF7F7F7F"/>
      </top>
      <bottom/>
      <diagonal/>
    </border>
    <border>
      <left/>
      <right/>
      <top style="thin">
        <color rgb="FF7F7F7F"/>
      </top>
      <bottom/>
      <diagonal/>
    </border>
    <border>
      <left/>
      <right style="thin">
        <color rgb="FF7F7F7F"/>
      </right>
      <top style="thin">
        <color rgb="FF7F7F7F"/>
      </top>
      <bottom/>
      <diagonal/>
    </border>
    <border>
      <left/>
      <right style="thin">
        <color rgb="FF7F7F7F"/>
      </right>
      <top/>
      <bottom/>
      <diagonal/>
    </border>
    <border>
      <left style="thin">
        <color rgb="FF7F7F7F"/>
      </left>
      <right/>
      <top/>
      <bottom style="thin">
        <color rgb="FF7F7F7F"/>
      </bottom>
      <diagonal/>
    </border>
    <border>
      <left/>
      <right/>
      <top/>
      <bottom style="thin">
        <color rgb="FF7F7F7F"/>
      </bottom>
      <diagonal/>
    </border>
    <border>
      <left/>
      <right style="thin">
        <color rgb="FF7F7F7F"/>
      </right>
      <top/>
      <bottom style="thin">
        <color rgb="FF7F7F7F"/>
      </bottom>
      <diagonal/>
    </border>
  </borders>
  <cellStyleXfs count="1">
    <xf numFmtId="0" fontId="0" fillId="0" borderId="0"/>
  </cellStyleXfs>
  <cellXfs count="54">
    <xf numFmtId="0" fontId="0" fillId="0" borderId="0" xfId="0"/>
    <xf numFmtId="15" fontId="0" fillId="0" borderId="0" xfId="0" applyNumberFormat="1" applyAlignment="1">
      <alignment horizontal="center"/>
    </xf>
    <xf numFmtId="0" fontId="0" fillId="0" borderId="0" xfId="0" applyAlignment="1">
      <alignment horizontal="center"/>
    </xf>
    <xf numFmtId="9" fontId="0" fillId="0" borderId="0" xfId="0" applyNumberFormat="1"/>
    <xf numFmtId="2" fontId="0" fillId="0" borderId="0" xfId="0" applyNumberFormat="1"/>
    <xf numFmtId="0" fontId="0" fillId="0" borderId="1" xfId="0" applyBorder="1" applyAlignment="1">
      <alignment horizontal="center"/>
    </xf>
    <xf numFmtId="9" fontId="0" fillId="0" borderId="1" xfId="0" applyNumberFormat="1" applyBorder="1" applyAlignment="1">
      <alignment horizontal="center"/>
    </xf>
    <xf numFmtId="0" fontId="0" fillId="0" borderId="1" xfId="0" pivotButton="1" applyBorder="1" applyAlignment="1">
      <alignment horizontal="center"/>
    </xf>
    <xf numFmtId="0" fontId="0" fillId="2" borderId="0" xfId="0" applyFill="1"/>
    <xf numFmtId="0" fontId="0" fillId="3" borderId="0" xfId="0" applyFill="1"/>
    <xf numFmtId="0" fontId="0" fillId="4" borderId="0" xfId="0" applyFill="1"/>
    <xf numFmtId="0" fontId="2" fillId="4" borderId="0" xfId="0" applyFont="1" applyFill="1" applyAlignment="1">
      <alignment horizontal="center" vertical="center"/>
    </xf>
    <xf numFmtId="0" fontId="0" fillId="5" borderId="0" xfId="0" applyFill="1"/>
    <xf numFmtId="0" fontId="0" fillId="6" borderId="0" xfId="0" applyFill="1"/>
    <xf numFmtId="0" fontId="0" fillId="0" borderId="2" xfId="0" pivotButton="1" applyBorder="1" applyAlignment="1">
      <alignment horizontal="center"/>
    </xf>
    <xf numFmtId="0" fontId="0" fillId="0" borderId="2" xfId="0" applyBorder="1" applyAlignment="1">
      <alignment horizontal="center"/>
    </xf>
    <xf numFmtId="164" fontId="0" fillId="0" borderId="1" xfId="0" applyNumberFormat="1" applyBorder="1" applyAlignment="1">
      <alignment horizontal="center"/>
    </xf>
    <xf numFmtId="2" fontId="3" fillId="2" borderId="0" xfId="0" applyNumberFormat="1" applyFont="1" applyFill="1" applyAlignment="1">
      <alignment horizontal="center"/>
    </xf>
    <xf numFmtId="0" fontId="7" fillId="2" borderId="0" xfId="0" applyFont="1" applyFill="1" applyAlignment="1">
      <alignment horizontal="center" vertical="center"/>
    </xf>
    <xf numFmtId="0" fontId="5" fillId="4" borderId="0" xfId="0" applyFont="1" applyFill="1" applyAlignment="1">
      <alignment horizontal="center"/>
    </xf>
    <xf numFmtId="0" fontId="6" fillId="2" borderId="0" xfId="0" applyFont="1" applyFill="1" applyAlignment="1">
      <alignment horizontal="center" vertical="center"/>
    </xf>
    <xf numFmtId="0" fontId="0" fillId="0" borderId="1" xfId="0" applyNumberFormat="1" applyBorder="1" applyAlignment="1">
      <alignment horizontal="center"/>
    </xf>
    <xf numFmtId="0" fontId="0" fillId="0" borderId="2" xfId="0" applyNumberFormat="1" applyBorder="1" applyAlignment="1">
      <alignment horizontal="center"/>
    </xf>
    <xf numFmtId="0" fontId="4" fillId="4" borderId="0" xfId="0" applyFont="1" applyFill="1" applyAlignment="1">
      <alignment horizontal="center" vertical="center"/>
    </xf>
    <xf numFmtId="1" fontId="3" fillId="6" borderId="0" xfId="0" applyNumberFormat="1" applyFont="1" applyFill="1" applyBorder="1" applyAlignment="1"/>
    <xf numFmtId="2" fontId="3" fillId="6" borderId="0" xfId="0" applyNumberFormat="1" applyFont="1" applyFill="1" applyBorder="1" applyAlignment="1"/>
    <xf numFmtId="0" fontId="6" fillId="6" borderId="0" xfId="0" applyFont="1" applyFill="1" applyAlignment="1">
      <alignment horizontal="center" vertical="center"/>
    </xf>
    <xf numFmtId="0" fontId="8" fillId="5" borderId="3" xfId="0" applyFont="1" applyFill="1" applyBorder="1" applyAlignment="1">
      <alignment horizontal="center"/>
    </xf>
    <xf numFmtId="0" fontId="8" fillId="5" borderId="4" xfId="0" applyFont="1" applyFill="1" applyBorder="1" applyAlignment="1">
      <alignment horizontal="center"/>
    </xf>
    <xf numFmtId="0" fontId="8" fillId="5" borderId="5" xfId="0" applyFont="1" applyFill="1" applyBorder="1" applyAlignment="1">
      <alignment horizontal="center"/>
    </xf>
    <xf numFmtId="0" fontId="8" fillId="5" borderId="6" xfId="0" applyFont="1" applyFill="1" applyBorder="1" applyAlignment="1">
      <alignment horizontal="center"/>
    </xf>
    <xf numFmtId="0" fontId="8" fillId="5" borderId="1" xfId="0" applyFont="1" applyFill="1" applyBorder="1" applyAlignment="1">
      <alignment horizontal="center"/>
    </xf>
    <xf numFmtId="0" fontId="8" fillId="5" borderId="7" xfId="0" applyFont="1" applyFill="1" applyBorder="1" applyAlignment="1">
      <alignment horizontal="center"/>
    </xf>
    <xf numFmtId="0" fontId="8" fillId="5" borderId="8" xfId="0" applyFont="1" applyFill="1" applyBorder="1" applyAlignment="1">
      <alignment horizontal="center"/>
    </xf>
    <xf numFmtId="0" fontId="8" fillId="5" borderId="9" xfId="0" applyFont="1" applyFill="1" applyBorder="1" applyAlignment="1">
      <alignment horizontal="center"/>
    </xf>
    <xf numFmtId="0" fontId="8" fillId="5" borderId="10" xfId="0" applyFont="1" applyFill="1" applyBorder="1" applyAlignment="1">
      <alignment horizontal="center"/>
    </xf>
    <xf numFmtId="164" fontId="9" fillId="5" borderId="12" xfId="0" applyNumberFormat="1" applyFont="1" applyFill="1" applyBorder="1" applyAlignment="1">
      <alignment horizontal="center"/>
    </xf>
    <xf numFmtId="164" fontId="9" fillId="5" borderId="13" xfId="0" applyNumberFormat="1" applyFont="1" applyFill="1" applyBorder="1" applyAlignment="1">
      <alignment horizontal="center"/>
    </xf>
    <xf numFmtId="164" fontId="9" fillId="5" borderId="14" xfId="0" applyNumberFormat="1" applyFont="1" applyFill="1" applyBorder="1" applyAlignment="1">
      <alignment horizontal="center"/>
    </xf>
    <xf numFmtId="164" fontId="9" fillId="5" borderId="11" xfId="0" applyNumberFormat="1" applyFont="1" applyFill="1" applyBorder="1" applyAlignment="1">
      <alignment horizontal="center"/>
    </xf>
    <xf numFmtId="164" fontId="9" fillId="5" borderId="0" xfId="0" applyNumberFormat="1" applyFont="1" applyFill="1" applyBorder="1" applyAlignment="1">
      <alignment horizontal="center"/>
    </xf>
    <xf numFmtId="164" fontId="9" fillId="5" borderId="15" xfId="0" applyNumberFormat="1" applyFont="1" applyFill="1" applyBorder="1" applyAlignment="1">
      <alignment horizontal="center"/>
    </xf>
    <xf numFmtId="164" fontId="9" fillId="5" borderId="16" xfId="0" applyNumberFormat="1" applyFont="1" applyFill="1" applyBorder="1" applyAlignment="1">
      <alignment horizontal="center"/>
    </xf>
    <xf numFmtId="164" fontId="9" fillId="5" borderId="17" xfId="0" applyNumberFormat="1" applyFont="1" applyFill="1" applyBorder="1" applyAlignment="1">
      <alignment horizontal="center"/>
    </xf>
    <xf numFmtId="164" fontId="9" fillId="5" borderId="18" xfId="0" applyNumberFormat="1" applyFont="1" applyFill="1" applyBorder="1" applyAlignment="1">
      <alignment horizontal="center"/>
    </xf>
    <xf numFmtId="164" fontId="8" fillId="5" borderId="12" xfId="0" applyNumberFormat="1" applyFont="1" applyFill="1" applyBorder="1" applyAlignment="1">
      <alignment horizontal="center"/>
    </xf>
    <xf numFmtId="164" fontId="8" fillId="5" borderId="13" xfId="0" applyNumberFormat="1" applyFont="1" applyFill="1" applyBorder="1" applyAlignment="1">
      <alignment horizontal="center"/>
    </xf>
    <xf numFmtId="164" fontId="8" fillId="5" borderId="14" xfId="0" applyNumberFormat="1" applyFont="1" applyFill="1" applyBorder="1" applyAlignment="1">
      <alignment horizontal="center"/>
    </xf>
    <xf numFmtId="164" fontId="8" fillId="5" borderId="11" xfId="0" applyNumberFormat="1" applyFont="1" applyFill="1" applyBorder="1" applyAlignment="1">
      <alignment horizontal="center"/>
    </xf>
    <xf numFmtId="164" fontId="8" fillId="5" borderId="0" xfId="0" applyNumberFormat="1" applyFont="1" applyFill="1" applyBorder="1" applyAlignment="1">
      <alignment horizontal="center"/>
    </xf>
    <xf numFmtId="164" fontId="8" fillId="5" borderId="15" xfId="0" applyNumberFormat="1" applyFont="1" applyFill="1" applyBorder="1" applyAlignment="1">
      <alignment horizontal="center"/>
    </xf>
    <xf numFmtId="164" fontId="8" fillId="5" borderId="16" xfId="0" applyNumberFormat="1" applyFont="1" applyFill="1" applyBorder="1" applyAlignment="1">
      <alignment horizontal="center"/>
    </xf>
    <xf numFmtId="164" fontId="8" fillId="5" borderId="17" xfId="0" applyNumberFormat="1" applyFont="1" applyFill="1" applyBorder="1" applyAlignment="1">
      <alignment horizontal="center"/>
    </xf>
    <xf numFmtId="164" fontId="8" fillId="5" borderId="18" xfId="0" applyNumberFormat="1" applyFont="1" applyFill="1" applyBorder="1" applyAlignment="1">
      <alignment horizontal="center"/>
    </xf>
  </cellXfs>
  <cellStyles count="1">
    <cellStyle name="Normal" xfId="0" builtinId="0"/>
  </cellStyles>
  <dxfs count="84">
    <dxf>
      <numFmt numFmtId="13" formatCode="0%"/>
    </dxf>
    <dxf>
      <alignment horizontal="center"/>
    </dxf>
    <dxf>
      <alignment horizontal="center"/>
    </dxf>
    <dxf>
      <alignment horizontal="center"/>
    </dxf>
    <dxf>
      <alignment horizontal="center"/>
    </dxf>
    <dxf>
      <alignment horizontal="cent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numFmt numFmtId="164" formatCode="[$₹-439]#,##0.0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439]#,##0.00"/>
    </dxf>
    <dxf>
      <numFmt numFmtId="164" formatCode="[$₹-43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3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4" formatCode="[$₹-439]#,##0.00"/>
    </dxf>
    <dxf>
      <alignment horizontal="center"/>
    </dxf>
    <dxf>
      <alignment horizontal="center"/>
    </dxf>
    <dxf>
      <alignment horizontal="center"/>
    </dxf>
    <dxf>
      <alignment horizontal="center"/>
    </dxf>
    <dxf>
      <alignment horizontal="cent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numFmt numFmtId="2" formatCode="0.00"/>
    </dxf>
    <dxf>
      <numFmt numFmtId="13" formatCode="0%"/>
    </dxf>
    <dxf>
      <alignment horizontal="center" vertical="bottom" textRotation="0" wrapText="0" indent="0" justifyLastLine="0" shrinkToFit="0" readingOrder="0"/>
    </dxf>
    <dxf>
      <numFmt numFmtId="165" formatCode="dd/mmm/yy"/>
      <alignment horizontal="center" vertical="bottom" textRotation="0" wrapText="0" indent="0" justifyLastLine="0" shrinkToFit="0" readingOrder="0"/>
    </dxf>
    <dxf>
      <font>
        <color rgb="FF002060"/>
      </font>
      <fill>
        <patternFill>
          <bgColor rgb="FF002060"/>
        </patternFill>
      </fill>
    </dxf>
    <dxf>
      <font>
        <color rgb="FF002060"/>
      </font>
    </dxf>
  </dxfs>
  <tableStyles count="3" defaultTableStyle="TableStyleMedium2" defaultPivotStyle="PivotStyleLight16">
    <tableStyle name="Invisible" pivot="0" table="0" count="0" xr9:uid="{3E1378A3-7D63-4E68-B8CF-E0729F08057B}"/>
    <tableStyle name="Slicer Style 1" pivot="0" table="0" count="3" xr9:uid="{CBF6D996-96FC-4CA8-8EAB-5F2815B0E731}">
      <tableStyleElement type="headerRow" dxfId="83"/>
    </tableStyle>
    <tableStyle name="Slicer Style 2" pivot="0" table="0" count="3" xr9:uid="{04D57DED-CDAD-4009-9891-C85A98E064E8}">
      <tableStyleElement type="headerRow" dxfId="82"/>
    </tableStyle>
  </tableStyles>
  <colors>
    <mruColors>
      <color rgb="FF1F4E78"/>
      <color rgb="FF7F7F7F"/>
      <color rgb="FFD9D9D9"/>
      <color rgb="FFFFFFFF"/>
      <color rgb="FFD9E2F3"/>
    </mruColors>
  </colors>
  <extLst>
    <ext xmlns:x14="http://schemas.microsoft.com/office/spreadsheetml/2009/9/main" uri="{46F421CA-312F-682f-3DD2-61675219B42D}">
      <x14:dxfs count="4">
        <dxf>
          <font>
            <color rgb="FF0070C0"/>
          </font>
        </dxf>
        <dxf>
          <font>
            <color theme="0" tint="-0.14996795556505021"/>
          </font>
        </dxf>
        <dxf>
          <font>
            <color rgb="FF0070C0"/>
          </font>
        </dxf>
        <dxf>
          <font>
            <color theme="0" tint="-0.14996795556505021"/>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s>
        </x14:slicerStyle>
        <x14:slicerStyle name="Slicer Style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customXml" Target="../customXml/item8.xml"/><Relationship Id="rId7" Type="http://schemas.microsoft.com/office/2007/relationships/slicerCache" Target="slicerCaches/slicerCache3.xml"/><Relationship Id="rId12" Type="http://schemas.openxmlformats.org/officeDocument/2006/relationships/powerPivotData" Target="model/item.data"/><Relationship Id="rId17" Type="http://schemas.openxmlformats.org/officeDocument/2006/relationships/customXml" Target="../customXml/item4.xml"/><Relationship Id="rId25"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24" Type="http://schemas.openxmlformats.org/officeDocument/2006/relationships/customXml" Target="../customXml/item11.xml"/><Relationship Id="rId32" Type="http://schemas.openxmlformats.org/officeDocument/2006/relationships/customXml" Target="../customXml/item19.xml"/><Relationship Id="rId5" Type="http://schemas.microsoft.com/office/2007/relationships/slicerCache" Target="slicerCaches/slicerCache1.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styles" Target="style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Dashboard Project.xlsx]Pivots!PivotTable4</c:name>
    <c:fmtId val="2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rgbClr val="1F4E78"/>
                </a:solidFill>
              </a:rPr>
              <a:t>Orders by Product</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Pivots!$A$9:$A$14</c:f>
              <c:strCache>
                <c:ptCount val="6"/>
                <c:pt idx="0">
                  <c:v>Aloo Shots Pizzabun</c:v>
                </c:pt>
                <c:pt idx="1">
                  <c:v>Minty Pizzabun</c:v>
                </c:pt>
                <c:pt idx="2">
                  <c:v>Medium Crispy Chole Pizzabun</c:v>
                </c:pt>
                <c:pt idx="3">
                  <c:v>Large Paneer Tikka Pizzabun</c:v>
                </c:pt>
                <c:pt idx="4">
                  <c:v>Crispy Chole Pizzabun</c:v>
                </c:pt>
                <c:pt idx="5">
                  <c:v>Paneer Tikka Pizzabun</c:v>
                </c:pt>
              </c:strCache>
            </c:strRef>
          </c:cat>
          <c:val>
            <c:numRef>
              <c:f>Pivots!$B$9:$B$14</c:f>
              <c:numCache>
                <c:formatCode>General</c:formatCode>
                <c:ptCount val="6"/>
                <c:pt idx="0">
                  <c:v>35</c:v>
                </c:pt>
                <c:pt idx="1">
                  <c:v>70</c:v>
                </c:pt>
                <c:pt idx="2">
                  <c:v>169</c:v>
                </c:pt>
                <c:pt idx="3">
                  <c:v>173</c:v>
                </c:pt>
                <c:pt idx="4">
                  <c:v>173</c:v>
                </c:pt>
                <c:pt idx="5">
                  <c:v>174</c:v>
                </c:pt>
              </c:numCache>
            </c:numRef>
          </c:val>
          <c:extLst>
            <c:ext xmlns:c16="http://schemas.microsoft.com/office/drawing/2014/chart" uri="{C3380CC4-5D6E-409C-BE32-E72D297353CC}">
              <c16:uniqueId val="{00000000-D69A-4A5D-BD37-AFF7F0BDA79E}"/>
            </c:ext>
          </c:extLst>
        </c:ser>
        <c:dLbls>
          <c:showLegendKey val="0"/>
          <c:showVal val="0"/>
          <c:showCatName val="0"/>
          <c:showSerName val="0"/>
          <c:showPercent val="0"/>
          <c:showBubbleSize val="0"/>
        </c:dLbls>
        <c:gapWidth val="150"/>
        <c:axId val="472924304"/>
        <c:axId val="472924656"/>
      </c:barChart>
      <c:catAx>
        <c:axId val="472924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924656"/>
        <c:crosses val="autoZero"/>
        <c:auto val="1"/>
        <c:lblAlgn val="ctr"/>
        <c:lblOffset val="100"/>
        <c:noMultiLvlLbl val="0"/>
      </c:catAx>
      <c:valAx>
        <c:axId val="4729246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924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Dashboard Project.xlsx]Pivots!PivotTable5</c:name>
    <c:fmtId val="9"/>
  </c:pivotSource>
  <c:chart>
    <c:title>
      <c:tx>
        <c:rich>
          <a:bodyPr rot="0" spcFirstLastPara="1" vertOverflow="ellipsis" vert="horz" wrap="square" anchor="ctr" anchorCtr="1"/>
          <a:lstStyle/>
          <a:p>
            <a:pPr>
              <a:defRPr sz="1600" b="1" i="0" u="none" strike="noStrike" kern="1200" spc="0" baseline="0">
                <a:solidFill>
                  <a:srgbClr val="1F4E78"/>
                </a:solidFill>
                <a:latin typeface="+mn-lt"/>
                <a:ea typeface="+mn-ea"/>
                <a:cs typeface="+mn-cs"/>
              </a:defRPr>
            </a:pPr>
            <a:r>
              <a:rPr lang="en-US" sz="1600" b="1">
                <a:solidFill>
                  <a:srgbClr val="1F4E78"/>
                </a:solidFill>
              </a:rPr>
              <a:t>Daily Orders Trend</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1F4E78"/>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Pivots!$A$19:$A$102</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1-Jul</c:v>
                </c:pt>
                <c:pt idx="18">
                  <c:v>2-Jul</c:v>
                </c:pt>
                <c:pt idx="19">
                  <c:v>3-Jul</c:v>
                </c:pt>
                <c:pt idx="20">
                  <c:v>4-Jul</c:v>
                </c:pt>
                <c:pt idx="21">
                  <c:v>5-Jul</c:v>
                </c:pt>
                <c:pt idx="22">
                  <c:v>6-Jul</c:v>
                </c:pt>
                <c:pt idx="23">
                  <c:v>7-Jul</c:v>
                </c:pt>
                <c:pt idx="24">
                  <c:v>8-Jul</c:v>
                </c:pt>
                <c:pt idx="25">
                  <c:v>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1-Aug</c:v>
                </c:pt>
                <c:pt idx="48">
                  <c:v>2-Aug</c:v>
                </c:pt>
                <c:pt idx="49">
                  <c:v>3-Aug</c:v>
                </c:pt>
                <c:pt idx="50">
                  <c:v>4-Aug</c:v>
                </c:pt>
                <c:pt idx="51">
                  <c:v>5-Aug</c:v>
                </c:pt>
                <c:pt idx="52">
                  <c:v>6-Aug</c:v>
                </c:pt>
                <c:pt idx="53">
                  <c:v>7-Aug</c:v>
                </c:pt>
                <c:pt idx="54">
                  <c:v>8-Aug</c:v>
                </c:pt>
                <c:pt idx="55">
                  <c:v>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1-Sep</c:v>
                </c:pt>
                <c:pt idx="79">
                  <c:v>2-Sep</c:v>
                </c:pt>
                <c:pt idx="80">
                  <c:v>3-Sep</c:v>
                </c:pt>
                <c:pt idx="81">
                  <c:v>4-Sep</c:v>
                </c:pt>
                <c:pt idx="82">
                  <c:v>5-Sep</c:v>
                </c:pt>
                <c:pt idx="83">
                  <c:v>6-Sep</c:v>
                </c:pt>
              </c:strCache>
            </c:strRef>
          </c:cat>
          <c:val>
            <c:numRef>
              <c:f>Pivots!$B$19:$B$102</c:f>
              <c:numCache>
                <c:formatCode>General</c:formatCode>
                <c:ptCount val="84"/>
                <c:pt idx="0">
                  <c:v>13</c:v>
                </c:pt>
                <c:pt idx="1">
                  <c:v>11</c:v>
                </c:pt>
                <c:pt idx="2">
                  <c:v>18</c:v>
                </c:pt>
                <c:pt idx="3">
                  <c:v>7</c:v>
                </c:pt>
                <c:pt idx="4">
                  <c:v>12</c:v>
                </c:pt>
                <c:pt idx="5">
                  <c:v>6</c:v>
                </c:pt>
                <c:pt idx="6">
                  <c:v>13</c:v>
                </c:pt>
                <c:pt idx="7">
                  <c:v>8</c:v>
                </c:pt>
                <c:pt idx="8">
                  <c:v>7</c:v>
                </c:pt>
                <c:pt idx="9">
                  <c:v>34</c:v>
                </c:pt>
                <c:pt idx="10">
                  <c:v>29</c:v>
                </c:pt>
                <c:pt idx="11">
                  <c:v>13</c:v>
                </c:pt>
                <c:pt idx="12">
                  <c:v>26</c:v>
                </c:pt>
                <c:pt idx="13">
                  <c:v>17</c:v>
                </c:pt>
                <c:pt idx="14">
                  <c:v>11</c:v>
                </c:pt>
                <c:pt idx="15">
                  <c:v>27</c:v>
                </c:pt>
                <c:pt idx="16">
                  <c:v>10</c:v>
                </c:pt>
                <c:pt idx="17">
                  <c:v>10</c:v>
                </c:pt>
                <c:pt idx="18">
                  <c:v>15</c:v>
                </c:pt>
                <c:pt idx="19">
                  <c:v>5</c:v>
                </c:pt>
                <c:pt idx="20">
                  <c:v>16</c:v>
                </c:pt>
                <c:pt idx="21">
                  <c:v>10</c:v>
                </c:pt>
                <c:pt idx="22">
                  <c:v>10</c:v>
                </c:pt>
                <c:pt idx="23">
                  <c:v>10</c:v>
                </c:pt>
                <c:pt idx="24">
                  <c:v>10</c:v>
                </c:pt>
                <c:pt idx="25">
                  <c:v>10</c:v>
                </c:pt>
                <c:pt idx="26">
                  <c:v>15</c:v>
                </c:pt>
                <c:pt idx="27">
                  <c:v>20</c:v>
                </c:pt>
                <c:pt idx="28">
                  <c:v>10</c:v>
                </c:pt>
                <c:pt idx="29">
                  <c:v>26</c:v>
                </c:pt>
                <c:pt idx="30">
                  <c:v>14</c:v>
                </c:pt>
                <c:pt idx="31">
                  <c:v>14</c:v>
                </c:pt>
                <c:pt idx="32">
                  <c:v>7</c:v>
                </c:pt>
                <c:pt idx="33">
                  <c:v>16</c:v>
                </c:pt>
                <c:pt idx="34">
                  <c:v>14</c:v>
                </c:pt>
                <c:pt idx="35">
                  <c:v>12</c:v>
                </c:pt>
                <c:pt idx="36">
                  <c:v>13</c:v>
                </c:pt>
                <c:pt idx="37">
                  <c:v>19</c:v>
                </c:pt>
                <c:pt idx="38">
                  <c:v>16</c:v>
                </c:pt>
                <c:pt idx="39">
                  <c:v>7</c:v>
                </c:pt>
                <c:pt idx="40">
                  <c:v>5</c:v>
                </c:pt>
                <c:pt idx="41">
                  <c:v>3</c:v>
                </c:pt>
                <c:pt idx="42">
                  <c:v>9</c:v>
                </c:pt>
                <c:pt idx="43">
                  <c:v>10</c:v>
                </c:pt>
                <c:pt idx="44">
                  <c:v>4</c:v>
                </c:pt>
                <c:pt idx="45">
                  <c:v>6</c:v>
                </c:pt>
                <c:pt idx="46">
                  <c:v>2</c:v>
                </c:pt>
                <c:pt idx="47">
                  <c:v>8</c:v>
                </c:pt>
                <c:pt idx="48">
                  <c:v>3</c:v>
                </c:pt>
                <c:pt idx="49">
                  <c:v>4</c:v>
                </c:pt>
                <c:pt idx="50">
                  <c:v>4</c:v>
                </c:pt>
                <c:pt idx="51">
                  <c:v>5</c:v>
                </c:pt>
                <c:pt idx="52">
                  <c:v>3</c:v>
                </c:pt>
                <c:pt idx="53">
                  <c:v>3</c:v>
                </c:pt>
                <c:pt idx="54">
                  <c:v>2</c:v>
                </c:pt>
                <c:pt idx="55">
                  <c:v>8</c:v>
                </c:pt>
                <c:pt idx="56">
                  <c:v>3</c:v>
                </c:pt>
                <c:pt idx="57">
                  <c:v>3</c:v>
                </c:pt>
                <c:pt idx="58">
                  <c:v>6</c:v>
                </c:pt>
                <c:pt idx="59">
                  <c:v>3</c:v>
                </c:pt>
                <c:pt idx="60">
                  <c:v>6</c:v>
                </c:pt>
                <c:pt idx="61">
                  <c:v>5</c:v>
                </c:pt>
                <c:pt idx="62">
                  <c:v>5</c:v>
                </c:pt>
                <c:pt idx="63">
                  <c:v>6</c:v>
                </c:pt>
                <c:pt idx="64">
                  <c:v>7</c:v>
                </c:pt>
                <c:pt idx="65">
                  <c:v>4</c:v>
                </c:pt>
                <c:pt idx="66">
                  <c:v>8</c:v>
                </c:pt>
                <c:pt idx="67">
                  <c:v>7</c:v>
                </c:pt>
                <c:pt idx="68">
                  <c:v>6</c:v>
                </c:pt>
                <c:pt idx="69">
                  <c:v>6</c:v>
                </c:pt>
                <c:pt idx="70">
                  <c:v>4</c:v>
                </c:pt>
                <c:pt idx="71">
                  <c:v>5</c:v>
                </c:pt>
                <c:pt idx="72">
                  <c:v>9</c:v>
                </c:pt>
                <c:pt idx="73">
                  <c:v>10</c:v>
                </c:pt>
                <c:pt idx="74">
                  <c:v>6</c:v>
                </c:pt>
                <c:pt idx="75">
                  <c:v>7</c:v>
                </c:pt>
                <c:pt idx="76">
                  <c:v>5</c:v>
                </c:pt>
                <c:pt idx="77">
                  <c:v>1</c:v>
                </c:pt>
                <c:pt idx="78">
                  <c:v>2</c:v>
                </c:pt>
                <c:pt idx="79">
                  <c:v>4</c:v>
                </c:pt>
                <c:pt idx="80">
                  <c:v>6</c:v>
                </c:pt>
                <c:pt idx="81">
                  <c:v>9</c:v>
                </c:pt>
                <c:pt idx="82">
                  <c:v>6</c:v>
                </c:pt>
                <c:pt idx="83">
                  <c:v>5</c:v>
                </c:pt>
              </c:numCache>
            </c:numRef>
          </c:val>
          <c:smooth val="0"/>
          <c:extLst>
            <c:ext xmlns:c16="http://schemas.microsoft.com/office/drawing/2014/chart" uri="{C3380CC4-5D6E-409C-BE32-E72D297353CC}">
              <c16:uniqueId val="{00000006-83E3-4B2E-9FB0-B3B26C8B83C8}"/>
            </c:ext>
          </c:extLst>
        </c:ser>
        <c:dLbls>
          <c:showLegendKey val="0"/>
          <c:showVal val="0"/>
          <c:showCatName val="0"/>
          <c:showSerName val="0"/>
          <c:showPercent val="0"/>
          <c:showBubbleSize val="0"/>
        </c:dLbls>
        <c:marker val="1"/>
        <c:smooth val="0"/>
        <c:axId val="678724816"/>
        <c:axId val="678726224"/>
      </c:lineChart>
      <c:catAx>
        <c:axId val="67872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726224"/>
        <c:crosses val="autoZero"/>
        <c:auto val="1"/>
        <c:lblAlgn val="ctr"/>
        <c:lblOffset val="100"/>
        <c:noMultiLvlLbl val="0"/>
      </c:catAx>
      <c:valAx>
        <c:axId val="678726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724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Dashboard Project.xlsx]Pivots!PivotTable1</c:name>
    <c:fmtId val="16"/>
  </c:pivotSource>
  <c:chart>
    <c:title>
      <c:tx>
        <c:rich>
          <a:bodyPr rot="0" spcFirstLastPara="1" vertOverflow="ellipsis" vert="horz" wrap="square" anchor="ctr" anchorCtr="1"/>
          <a:lstStyle/>
          <a:p>
            <a:pPr>
              <a:defRPr sz="1600" b="1" i="0" u="none" strike="noStrike" kern="1200" spc="0" baseline="0">
                <a:solidFill>
                  <a:srgbClr val="1F4E78"/>
                </a:solidFill>
                <a:latin typeface="+mn-lt"/>
                <a:ea typeface="+mn-ea"/>
                <a:cs typeface="+mn-cs"/>
              </a:defRPr>
            </a:pPr>
            <a:r>
              <a:rPr lang="en-US" sz="1600" b="1">
                <a:solidFill>
                  <a:srgbClr val="1F4E78"/>
                </a:solidFill>
              </a:rPr>
              <a:t>Daily Revenue Trend</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1F4E78"/>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Pivots!$B$106</c:f>
              <c:strCache>
                <c:ptCount val="1"/>
                <c:pt idx="0">
                  <c:v>Total</c:v>
                </c:pt>
              </c:strCache>
            </c:strRef>
          </c:tx>
          <c:spPr>
            <a:ln w="28575" cap="rnd">
              <a:solidFill>
                <a:schemeClr val="accent1"/>
              </a:solidFill>
              <a:round/>
            </a:ln>
            <a:effectLst/>
          </c:spPr>
          <c:marker>
            <c:symbol val="none"/>
          </c:marker>
          <c:cat>
            <c:strRef>
              <c:f>Pivots!$A$107:$A$190</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1-Jul</c:v>
                </c:pt>
                <c:pt idx="18">
                  <c:v>2-Jul</c:v>
                </c:pt>
                <c:pt idx="19">
                  <c:v>3-Jul</c:v>
                </c:pt>
                <c:pt idx="20">
                  <c:v>4-Jul</c:v>
                </c:pt>
                <c:pt idx="21">
                  <c:v>5-Jul</c:v>
                </c:pt>
                <c:pt idx="22">
                  <c:v>6-Jul</c:v>
                </c:pt>
                <c:pt idx="23">
                  <c:v>7-Jul</c:v>
                </c:pt>
                <c:pt idx="24">
                  <c:v>8-Jul</c:v>
                </c:pt>
                <c:pt idx="25">
                  <c:v>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1-Aug</c:v>
                </c:pt>
                <c:pt idx="48">
                  <c:v>2-Aug</c:v>
                </c:pt>
                <c:pt idx="49">
                  <c:v>3-Aug</c:v>
                </c:pt>
                <c:pt idx="50">
                  <c:v>4-Aug</c:v>
                </c:pt>
                <c:pt idx="51">
                  <c:v>5-Aug</c:v>
                </c:pt>
                <c:pt idx="52">
                  <c:v>6-Aug</c:v>
                </c:pt>
                <c:pt idx="53">
                  <c:v>7-Aug</c:v>
                </c:pt>
                <c:pt idx="54">
                  <c:v>8-Aug</c:v>
                </c:pt>
                <c:pt idx="55">
                  <c:v>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1-Sep</c:v>
                </c:pt>
                <c:pt idx="79">
                  <c:v>2-Sep</c:v>
                </c:pt>
                <c:pt idx="80">
                  <c:v>3-Sep</c:v>
                </c:pt>
                <c:pt idx="81">
                  <c:v>4-Sep</c:v>
                </c:pt>
                <c:pt idx="82">
                  <c:v>5-Sep</c:v>
                </c:pt>
                <c:pt idx="83">
                  <c:v>6-Sep</c:v>
                </c:pt>
              </c:strCache>
            </c:strRef>
          </c:cat>
          <c:val>
            <c:numRef>
              <c:f>Pivots!$B$107:$B$190</c:f>
              <c:numCache>
                <c:formatCode>[$₹-439]#,##0.00</c:formatCode>
                <c:ptCount val="84"/>
                <c:pt idx="0">
                  <c:v>8039.428736581136</c:v>
                </c:pt>
                <c:pt idx="1">
                  <c:v>5723.9204341487703</c:v>
                </c:pt>
                <c:pt idx="2">
                  <c:v>9798.5230096464675</c:v>
                </c:pt>
                <c:pt idx="3">
                  <c:v>3609.8116370931098</c:v>
                </c:pt>
                <c:pt idx="4">
                  <c:v>8108.1318102647629</c:v>
                </c:pt>
                <c:pt idx="5">
                  <c:v>3394.3160180391606</c:v>
                </c:pt>
                <c:pt idx="6">
                  <c:v>7738.5193576691663</c:v>
                </c:pt>
                <c:pt idx="7">
                  <c:v>4240.9597763750307</c:v>
                </c:pt>
                <c:pt idx="8">
                  <c:v>3001.1811564948771</c:v>
                </c:pt>
                <c:pt idx="9">
                  <c:v>20237.562855201708</c:v>
                </c:pt>
                <c:pt idx="10">
                  <c:v>15330.513240822402</c:v>
                </c:pt>
                <c:pt idx="11">
                  <c:v>6607.5079797708977</c:v>
                </c:pt>
                <c:pt idx="12">
                  <c:v>13307.531224947767</c:v>
                </c:pt>
                <c:pt idx="13">
                  <c:v>10519.397277545311</c:v>
                </c:pt>
                <c:pt idx="14">
                  <c:v>5600.0571015897995</c:v>
                </c:pt>
                <c:pt idx="15">
                  <c:v>14543.258670132631</c:v>
                </c:pt>
                <c:pt idx="16">
                  <c:v>5894.7608255318628</c:v>
                </c:pt>
                <c:pt idx="17">
                  <c:v>5263.6186032866472</c:v>
                </c:pt>
                <c:pt idx="18">
                  <c:v>7809.1609973545919</c:v>
                </c:pt>
                <c:pt idx="19">
                  <c:v>2543.7230540906694</c:v>
                </c:pt>
                <c:pt idx="20">
                  <c:v>7917.2349061202513</c:v>
                </c:pt>
                <c:pt idx="21">
                  <c:v>5493.5980942077013</c:v>
                </c:pt>
                <c:pt idx="22">
                  <c:v>5587.9935336906783</c:v>
                </c:pt>
                <c:pt idx="23">
                  <c:v>7055.7441714997994</c:v>
                </c:pt>
                <c:pt idx="24">
                  <c:v>5741.6493272599537</c:v>
                </c:pt>
                <c:pt idx="25">
                  <c:v>5478.5884465634826</c:v>
                </c:pt>
                <c:pt idx="26">
                  <c:v>8182.7024770862754</c:v>
                </c:pt>
                <c:pt idx="27">
                  <c:v>11476.092302435971</c:v>
                </c:pt>
                <c:pt idx="28">
                  <c:v>5497.8168777701785</c:v>
                </c:pt>
                <c:pt idx="29">
                  <c:v>14504.448331392159</c:v>
                </c:pt>
                <c:pt idx="30">
                  <c:v>7922.3857087079577</c:v>
                </c:pt>
                <c:pt idx="31">
                  <c:v>7221.8781135384124</c:v>
                </c:pt>
                <c:pt idx="32">
                  <c:v>3193.1407027766149</c:v>
                </c:pt>
                <c:pt idx="33">
                  <c:v>7942.7056378408579</c:v>
                </c:pt>
                <c:pt idx="34">
                  <c:v>8704.6545674939935</c:v>
                </c:pt>
                <c:pt idx="35">
                  <c:v>7596.658976863022</c:v>
                </c:pt>
                <c:pt idx="36">
                  <c:v>7634.6896407439617</c:v>
                </c:pt>
                <c:pt idx="37">
                  <c:v>10440.245060001203</c:v>
                </c:pt>
                <c:pt idx="38">
                  <c:v>9306.9553227515462</c:v>
                </c:pt>
                <c:pt idx="39">
                  <c:v>4400.2932154839737</c:v>
                </c:pt>
                <c:pt idx="40">
                  <c:v>2731.1232010463586</c:v>
                </c:pt>
                <c:pt idx="41">
                  <c:v>1758.1314443837773</c:v>
                </c:pt>
                <c:pt idx="42">
                  <c:v>5096.2003534119831</c:v>
                </c:pt>
                <c:pt idx="43">
                  <c:v>5817.0962666666755</c:v>
                </c:pt>
                <c:pt idx="44">
                  <c:v>2649.6410138122242</c:v>
                </c:pt>
                <c:pt idx="45">
                  <c:v>3058.4983994629461</c:v>
                </c:pt>
                <c:pt idx="46">
                  <c:v>918.47160512084474</c:v>
                </c:pt>
                <c:pt idx="47">
                  <c:v>4971.1681865661176</c:v>
                </c:pt>
                <c:pt idx="48">
                  <c:v>1668.6060500762494</c:v>
                </c:pt>
                <c:pt idx="49">
                  <c:v>2392.2123360513619</c:v>
                </c:pt>
                <c:pt idx="50">
                  <c:v>1287.4462556476767</c:v>
                </c:pt>
                <c:pt idx="51">
                  <c:v>2023.7828540683242</c:v>
                </c:pt>
                <c:pt idx="52">
                  <c:v>1282.6052077095828</c:v>
                </c:pt>
                <c:pt idx="53">
                  <c:v>1358.6571211867647</c:v>
                </c:pt>
                <c:pt idx="54">
                  <c:v>1529.3510985985431</c:v>
                </c:pt>
                <c:pt idx="55">
                  <c:v>4370.380581814341</c:v>
                </c:pt>
                <c:pt idx="56">
                  <c:v>1669.6001778910695</c:v>
                </c:pt>
                <c:pt idx="57">
                  <c:v>1798.6134533438385</c:v>
                </c:pt>
                <c:pt idx="58">
                  <c:v>2971.4353520250916</c:v>
                </c:pt>
                <c:pt idx="59">
                  <c:v>1257.7946644887065</c:v>
                </c:pt>
                <c:pt idx="60">
                  <c:v>3208.0028225517708</c:v>
                </c:pt>
                <c:pt idx="61">
                  <c:v>2704.6903235703257</c:v>
                </c:pt>
                <c:pt idx="62">
                  <c:v>3336.7629765382239</c:v>
                </c:pt>
                <c:pt idx="63">
                  <c:v>3254.8795559300097</c:v>
                </c:pt>
                <c:pt idx="64">
                  <c:v>4056.4401015507738</c:v>
                </c:pt>
                <c:pt idx="65">
                  <c:v>1602.1727023659555</c:v>
                </c:pt>
                <c:pt idx="66">
                  <c:v>4266.9730275577776</c:v>
                </c:pt>
                <c:pt idx="67">
                  <c:v>3885.5772865415065</c:v>
                </c:pt>
                <c:pt idx="68">
                  <c:v>3119.9947158389946</c:v>
                </c:pt>
                <c:pt idx="69">
                  <c:v>3209.4029964477299</c:v>
                </c:pt>
                <c:pt idx="70">
                  <c:v>2072.805466323985</c:v>
                </c:pt>
                <c:pt idx="71">
                  <c:v>2556.5167805938354</c:v>
                </c:pt>
                <c:pt idx="72">
                  <c:v>5400.7766321346589</c:v>
                </c:pt>
                <c:pt idx="73">
                  <c:v>5889.4756086742027</c:v>
                </c:pt>
                <c:pt idx="74">
                  <c:v>3014.7686307916169</c:v>
                </c:pt>
                <c:pt idx="75">
                  <c:v>3947.4331926330588</c:v>
                </c:pt>
                <c:pt idx="76">
                  <c:v>2510.637039625251</c:v>
                </c:pt>
                <c:pt idx="77">
                  <c:v>519.33041944949412</c:v>
                </c:pt>
                <c:pt idx="78">
                  <c:v>714.05158145790961</c:v>
                </c:pt>
                <c:pt idx="79">
                  <c:v>1917.6949501787626</c:v>
                </c:pt>
                <c:pt idx="80">
                  <c:v>2978.4119555538323</c:v>
                </c:pt>
                <c:pt idx="81">
                  <c:v>5016.5317705183361</c:v>
                </c:pt>
                <c:pt idx="82">
                  <c:v>3069.1824438470567</c:v>
                </c:pt>
                <c:pt idx="83">
                  <c:v>2411.8208681750866</c:v>
                </c:pt>
              </c:numCache>
            </c:numRef>
          </c:val>
          <c:smooth val="0"/>
          <c:extLst>
            <c:ext xmlns:c16="http://schemas.microsoft.com/office/drawing/2014/chart" uri="{C3380CC4-5D6E-409C-BE32-E72D297353CC}">
              <c16:uniqueId val="{00000003-2FF3-4CED-ACBC-0BCF4098C14B}"/>
            </c:ext>
          </c:extLst>
        </c:ser>
        <c:dLbls>
          <c:showLegendKey val="0"/>
          <c:showVal val="0"/>
          <c:showCatName val="0"/>
          <c:showSerName val="0"/>
          <c:showPercent val="0"/>
          <c:showBubbleSize val="0"/>
        </c:dLbls>
        <c:smooth val="0"/>
        <c:axId val="678731152"/>
        <c:axId val="678729392"/>
      </c:lineChart>
      <c:catAx>
        <c:axId val="67873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729392"/>
        <c:crosses val="autoZero"/>
        <c:auto val="1"/>
        <c:lblAlgn val="ctr"/>
        <c:lblOffset val="100"/>
        <c:noMultiLvlLbl val="0"/>
      </c:catAx>
      <c:valAx>
        <c:axId val="678729392"/>
        <c:scaling>
          <c:orientation val="minMax"/>
        </c:scaling>
        <c:delete val="0"/>
        <c:axPos val="l"/>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731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Dashboard Project.xlsx]Pivots!PivotTable3</c:name>
    <c:fmtId val="19"/>
  </c:pivotSource>
  <c:chart>
    <c:title>
      <c:tx>
        <c:rich>
          <a:bodyPr rot="0" spcFirstLastPara="1" vertOverflow="ellipsis" vert="horz" wrap="square" anchor="ctr" anchorCtr="1"/>
          <a:lstStyle/>
          <a:p>
            <a:pPr>
              <a:defRPr sz="1600" b="1" i="0" u="none" strike="noStrike" kern="1200" spc="0" baseline="0">
                <a:solidFill>
                  <a:srgbClr val="1F4E78"/>
                </a:solidFill>
                <a:latin typeface="+mn-lt"/>
                <a:ea typeface="+mn-ea"/>
                <a:cs typeface="+mn-cs"/>
              </a:defRPr>
            </a:pPr>
            <a:r>
              <a:rPr lang="en-US" sz="1600" b="1">
                <a:solidFill>
                  <a:srgbClr val="1F4E78"/>
                </a:solidFill>
              </a:rPr>
              <a:t>Revenue by Product</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1F4E78"/>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Pivots!$B$194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Pivots!$A$195:$A$200</c:f>
              <c:strCache>
                <c:ptCount val="6"/>
                <c:pt idx="0">
                  <c:v>Aloo Shots Pizzabun</c:v>
                </c:pt>
                <c:pt idx="1">
                  <c:v>Crispy Chole Pizzabun</c:v>
                </c:pt>
                <c:pt idx="2">
                  <c:v>Large Paneer Tikka Pizzabun</c:v>
                </c:pt>
                <c:pt idx="3">
                  <c:v>Medium Crispy Chole Pizzabun</c:v>
                </c:pt>
                <c:pt idx="4">
                  <c:v>Minty Pizzabun</c:v>
                </c:pt>
                <c:pt idx="5">
                  <c:v>Paneer Tikka Pizzabun</c:v>
                </c:pt>
              </c:strCache>
            </c:strRef>
          </c:cat>
          <c:val>
            <c:numRef>
              <c:f>Pivots!$B$195:$B$200</c:f>
              <c:numCache>
                <c:formatCode>[$₹-439]#,##0.00</c:formatCode>
                <c:ptCount val="6"/>
                <c:pt idx="0">
                  <c:v>18603.602954581624</c:v>
                </c:pt>
                <c:pt idx="1">
                  <c:v>92342.657111009161</c:v>
                </c:pt>
                <c:pt idx="2">
                  <c:v>98668.692637961198</c:v>
                </c:pt>
                <c:pt idx="3">
                  <c:v>91958.287466710724</c:v>
                </c:pt>
                <c:pt idx="4">
                  <c:v>40345.590475677382</c:v>
                </c:pt>
                <c:pt idx="5">
                  <c:v>95967.678007097289</c:v>
                </c:pt>
              </c:numCache>
            </c:numRef>
          </c:val>
          <c:extLst>
            <c:ext xmlns:c16="http://schemas.microsoft.com/office/drawing/2014/chart" uri="{C3380CC4-5D6E-409C-BE32-E72D297353CC}">
              <c16:uniqueId val="{00000000-C01A-43CA-8D49-F9D240A866EF}"/>
            </c:ext>
          </c:extLst>
        </c:ser>
        <c:dLbls>
          <c:showLegendKey val="0"/>
          <c:showVal val="0"/>
          <c:showCatName val="0"/>
          <c:showSerName val="0"/>
          <c:showPercent val="0"/>
          <c:showBubbleSize val="0"/>
        </c:dLbls>
        <c:gapWidth val="150"/>
        <c:axId val="670464528"/>
        <c:axId val="670465936"/>
      </c:barChart>
      <c:catAx>
        <c:axId val="6704645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465936"/>
        <c:crosses val="autoZero"/>
        <c:auto val="1"/>
        <c:lblAlgn val="ctr"/>
        <c:lblOffset val="100"/>
        <c:noMultiLvlLbl val="0"/>
      </c:catAx>
      <c:valAx>
        <c:axId val="670465936"/>
        <c:scaling>
          <c:orientation val="minMax"/>
        </c:scaling>
        <c:delete val="0"/>
        <c:axPos val="l"/>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464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Dashboard Project.xlsx]Pivots!PivotTable6</c:name>
    <c:fmtId val="29"/>
  </c:pivotSource>
  <c:chart>
    <c:title>
      <c:tx>
        <c:rich>
          <a:bodyPr rot="0" spcFirstLastPara="1" vertOverflow="ellipsis" vert="horz" wrap="square" anchor="ctr" anchorCtr="1"/>
          <a:lstStyle/>
          <a:p>
            <a:pPr>
              <a:defRPr sz="1600" b="1" i="0" u="none" strike="noStrike" kern="1200" spc="0" baseline="0">
                <a:solidFill>
                  <a:srgbClr val="1F4E78"/>
                </a:solidFill>
                <a:latin typeface="+mn-lt"/>
                <a:ea typeface="+mn-ea"/>
                <a:cs typeface="+mn-cs"/>
              </a:defRPr>
            </a:pPr>
            <a:r>
              <a:rPr lang="en-US" sz="1600" b="1">
                <a:solidFill>
                  <a:srgbClr val="1F4E78"/>
                </a:solidFill>
              </a:rPr>
              <a:t>Orders by Channel</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1F4E78"/>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Pivots!$B$204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Pivots!$A$205:$A$206</c:f>
              <c:strCache>
                <c:ptCount val="2"/>
                <c:pt idx="0">
                  <c:v>Online</c:v>
                </c:pt>
                <c:pt idx="1">
                  <c:v>Physical Visit</c:v>
                </c:pt>
              </c:strCache>
            </c:strRef>
          </c:cat>
          <c:val>
            <c:numRef>
              <c:f>Pivots!$B$205:$B$206</c:f>
              <c:numCache>
                <c:formatCode>General</c:formatCode>
                <c:ptCount val="2"/>
                <c:pt idx="0">
                  <c:v>403</c:v>
                </c:pt>
                <c:pt idx="1">
                  <c:v>391</c:v>
                </c:pt>
              </c:numCache>
            </c:numRef>
          </c:val>
          <c:extLst>
            <c:ext xmlns:c16="http://schemas.microsoft.com/office/drawing/2014/chart" uri="{C3380CC4-5D6E-409C-BE32-E72D297353CC}">
              <c16:uniqueId val="{00000000-1406-427E-A405-048EF80E0298}"/>
            </c:ext>
          </c:extLst>
        </c:ser>
        <c:dLbls>
          <c:showLegendKey val="0"/>
          <c:showVal val="0"/>
          <c:showCatName val="0"/>
          <c:showSerName val="0"/>
          <c:showPercent val="0"/>
          <c:showBubbleSize val="0"/>
        </c:dLbls>
        <c:gapWidth val="219"/>
        <c:overlap val="-27"/>
        <c:axId val="391341936"/>
        <c:axId val="391342288"/>
      </c:barChart>
      <c:catAx>
        <c:axId val="39134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342288"/>
        <c:crosses val="autoZero"/>
        <c:auto val="1"/>
        <c:lblAlgn val="ctr"/>
        <c:lblOffset val="100"/>
        <c:noMultiLvlLbl val="0"/>
      </c:catAx>
      <c:valAx>
        <c:axId val="391342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341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Dashboard Project.xlsx]Pivots!PivotTable7</c:name>
    <c:fmtId val="6"/>
  </c:pivotSource>
  <c:chart>
    <c:title>
      <c:tx>
        <c:rich>
          <a:bodyPr rot="0" spcFirstLastPara="1" vertOverflow="ellipsis" vert="horz" wrap="square" anchor="ctr" anchorCtr="1"/>
          <a:lstStyle/>
          <a:p>
            <a:pPr>
              <a:defRPr sz="1600" b="1" i="0" u="none" strike="noStrike" kern="1200" spc="0" baseline="0">
                <a:solidFill>
                  <a:srgbClr val="1F4E78"/>
                </a:solidFill>
                <a:latin typeface="+mn-lt"/>
                <a:ea typeface="+mn-ea"/>
                <a:cs typeface="+mn-cs"/>
              </a:defRPr>
            </a:pPr>
            <a:r>
              <a:rPr lang="en-US" sz="1600" b="1">
                <a:solidFill>
                  <a:srgbClr val="1F4E78"/>
                </a:solidFill>
              </a:rPr>
              <a:t>Units Sold by Channel</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1F4E78"/>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Pivots!$B$208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Pivots!$A$209:$A$210</c:f>
              <c:strCache>
                <c:ptCount val="2"/>
                <c:pt idx="0">
                  <c:v>Online</c:v>
                </c:pt>
                <c:pt idx="1">
                  <c:v>Physical Visit</c:v>
                </c:pt>
              </c:strCache>
            </c:strRef>
          </c:cat>
          <c:val>
            <c:numRef>
              <c:f>Pivots!$B$209:$B$210</c:f>
              <c:numCache>
                <c:formatCode>General</c:formatCode>
                <c:ptCount val="2"/>
                <c:pt idx="0">
                  <c:v>2418</c:v>
                </c:pt>
                <c:pt idx="1">
                  <c:v>2310</c:v>
                </c:pt>
              </c:numCache>
            </c:numRef>
          </c:val>
          <c:extLst>
            <c:ext xmlns:c16="http://schemas.microsoft.com/office/drawing/2014/chart" uri="{C3380CC4-5D6E-409C-BE32-E72D297353CC}">
              <c16:uniqueId val="{00000000-F053-47E8-AE45-E5E435A7D960}"/>
            </c:ext>
          </c:extLst>
        </c:ser>
        <c:dLbls>
          <c:showLegendKey val="0"/>
          <c:showVal val="0"/>
          <c:showCatName val="0"/>
          <c:showSerName val="0"/>
          <c:showPercent val="0"/>
          <c:showBubbleSize val="0"/>
        </c:dLbls>
        <c:gapWidth val="219"/>
        <c:overlap val="-27"/>
        <c:axId val="604287408"/>
        <c:axId val="604291280"/>
      </c:barChart>
      <c:catAx>
        <c:axId val="60428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291280"/>
        <c:crosses val="autoZero"/>
        <c:auto val="1"/>
        <c:lblAlgn val="ctr"/>
        <c:lblOffset val="100"/>
        <c:noMultiLvlLbl val="0"/>
      </c:catAx>
      <c:valAx>
        <c:axId val="604291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28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Dashboard Project.xlsx]Pivots!PivotTable8</c:name>
    <c:fmtId val="6"/>
  </c:pivotSource>
  <c:chart>
    <c:title>
      <c:tx>
        <c:rich>
          <a:bodyPr rot="0" spcFirstLastPara="1" vertOverflow="ellipsis" vert="horz" wrap="square" anchor="ctr" anchorCtr="1"/>
          <a:lstStyle/>
          <a:p>
            <a:pPr>
              <a:defRPr sz="1600" b="1" i="0" u="none" strike="noStrike" kern="1200" spc="0" baseline="0">
                <a:solidFill>
                  <a:srgbClr val="1F4E78"/>
                </a:solidFill>
                <a:latin typeface="+mn-lt"/>
                <a:ea typeface="+mn-ea"/>
                <a:cs typeface="+mn-cs"/>
              </a:defRPr>
            </a:pPr>
            <a:r>
              <a:rPr lang="en-US" sz="1600" b="1">
                <a:solidFill>
                  <a:srgbClr val="1F4E78"/>
                </a:solidFill>
              </a:rPr>
              <a:t>Revenue by Channel</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1F4E78"/>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Pivots!$A$213:$A$214</c:f>
              <c:strCache>
                <c:ptCount val="2"/>
                <c:pt idx="0">
                  <c:v>Online</c:v>
                </c:pt>
                <c:pt idx="1">
                  <c:v>Physical Visit</c:v>
                </c:pt>
              </c:strCache>
            </c:strRef>
          </c:cat>
          <c:val>
            <c:numRef>
              <c:f>Pivots!$B$213:$B$214</c:f>
              <c:numCache>
                <c:formatCode>[$₹-439]#,##0.00</c:formatCode>
                <c:ptCount val="2"/>
                <c:pt idx="0">
                  <c:v>221301.91556367281</c:v>
                </c:pt>
                <c:pt idx="1">
                  <c:v>216584.59308936432</c:v>
                </c:pt>
              </c:numCache>
            </c:numRef>
          </c:val>
          <c:extLst>
            <c:ext xmlns:c16="http://schemas.microsoft.com/office/drawing/2014/chart" uri="{C3380CC4-5D6E-409C-BE32-E72D297353CC}">
              <c16:uniqueId val="{00000000-CD74-4D64-8788-798791ED2CAC}"/>
            </c:ext>
          </c:extLst>
        </c:ser>
        <c:dLbls>
          <c:showLegendKey val="0"/>
          <c:showVal val="0"/>
          <c:showCatName val="0"/>
          <c:showSerName val="0"/>
          <c:showPercent val="0"/>
          <c:showBubbleSize val="0"/>
        </c:dLbls>
        <c:gapWidth val="219"/>
        <c:overlap val="-27"/>
        <c:axId val="604280368"/>
        <c:axId val="604280720"/>
      </c:barChart>
      <c:catAx>
        <c:axId val="604280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280720"/>
        <c:crosses val="autoZero"/>
        <c:auto val="1"/>
        <c:lblAlgn val="ctr"/>
        <c:lblOffset val="100"/>
        <c:noMultiLvlLbl val="0"/>
      </c:catAx>
      <c:valAx>
        <c:axId val="604280720"/>
        <c:scaling>
          <c:orientation val="minMax"/>
        </c:scaling>
        <c:delete val="0"/>
        <c:axPos val="l"/>
        <c:numFmt formatCode="[$₹-43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280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28</xdr:col>
      <xdr:colOff>279765</xdr:colOff>
      <xdr:row>0</xdr:row>
      <xdr:rowOff>163284</xdr:rowOff>
    </xdr:from>
    <xdr:to>
      <xdr:col>30</xdr:col>
      <xdr:colOff>435430</xdr:colOff>
      <xdr:row>4</xdr:row>
      <xdr:rowOff>10884</xdr:rowOff>
    </xdr:to>
    <mc:AlternateContent xmlns:mc="http://schemas.openxmlformats.org/markup-compatibility/2006">
      <mc:Choice xmlns:a14="http://schemas.microsoft.com/office/drawing/2010/main" Requires="a14">
        <xdr:graphicFrame macro="">
          <xdr:nvGraphicFramePr>
            <xdr:cNvPr id="2" name="Order Type 1">
              <a:extLst>
                <a:ext uri="{FF2B5EF4-FFF2-40B4-BE49-F238E27FC236}">
                  <a16:creationId xmlns:a16="http://schemas.microsoft.com/office/drawing/2014/main" id="{F9824C5B-6F7D-48FA-A805-91B5745648FB}"/>
                </a:ext>
              </a:extLst>
            </xdr:cNvPr>
            <xdr:cNvGraphicFramePr/>
          </xdr:nvGraphicFramePr>
          <xdr:xfrm>
            <a:off x="0" y="0"/>
            <a:ext cx="0" cy="0"/>
          </xdr:xfrm>
          <a:graphic>
            <a:graphicData uri="http://schemas.microsoft.com/office/drawing/2010/slicer">
              <sle:slicer xmlns:sle="http://schemas.microsoft.com/office/drawing/2010/slicer" name="Order Type 1"/>
            </a:graphicData>
          </a:graphic>
        </xdr:graphicFrame>
      </mc:Choice>
      <mc:Fallback>
        <xdr:sp macro="" textlink="">
          <xdr:nvSpPr>
            <xdr:cNvPr id="0" name=""/>
            <xdr:cNvSpPr>
              <a:spLocks noTextEdit="1"/>
            </xdr:cNvSpPr>
          </xdr:nvSpPr>
          <xdr:spPr>
            <a:xfrm>
              <a:off x="17348565" y="163284"/>
              <a:ext cx="1374865" cy="10945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530667</xdr:colOff>
      <xdr:row>22</xdr:row>
      <xdr:rowOff>135750</xdr:rowOff>
    </xdr:from>
    <xdr:to>
      <xdr:col>12</xdr:col>
      <xdr:colOff>592780</xdr:colOff>
      <xdr:row>43</xdr:row>
      <xdr:rowOff>141514</xdr:rowOff>
    </xdr:to>
    <xdr:graphicFrame macro="">
      <xdr:nvGraphicFramePr>
        <xdr:cNvPr id="7" name="Chart 6">
          <a:extLst>
            <a:ext uri="{FF2B5EF4-FFF2-40B4-BE49-F238E27FC236}">
              <a16:creationId xmlns:a16="http://schemas.microsoft.com/office/drawing/2014/main" id="{F04AF14B-0779-463C-8F4B-8207B3A2C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526476</xdr:colOff>
      <xdr:row>48</xdr:row>
      <xdr:rowOff>91035</xdr:rowOff>
    </xdr:from>
    <xdr:to>
      <xdr:col>12</xdr:col>
      <xdr:colOff>595748</xdr:colOff>
      <xdr:row>72</xdr:row>
      <xdr:rowOff>27701</xdr:rowOff>
    </xdr:to>
    <xdr:graphicFrame macro="">
      <xdr:nvGraphicFramePr>
        <xdr:cNvPr id="8" name="Chart 7">
          <a:extLst>
            <a:ext uri="{FF2B5EF4-FFF2-40B4-BE49-F238E27FC236}">
              <a16:creationId xmlns:a16="http://schemas.microsoft.com/office/drawing/2014/main" id="{5A477D78-DC1F-4F0C-AF20-66A3B659D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589803</xdr:colOff>
      <xdr:row>48</xdr:row>
      <xdr:rowOff>80156</xdr:rowOff>
    </xdr:from>
    <xdr:to>
      <xdr:col>29</xdr:col>
      <xdr:colOff>27706</xdr:colOff>
      <xdr:row>72</xdr:row>
      <xdr:rowOff>27708</xdr:rowOff>
    </xdr:to>
    <xdr:graphicFrame macro="">
      <xdr:nvGraphicFramePr>
        <xdr:cNvPr id="9" name="Chart 8">
          <a:extLst>
            <a:ext uri="{FF2B5EF4-FFF2-40B4-BE49-F238E27FC236}">
              <a16:creationId xmlns:a16="http://schemas.microsoft.com/office/drawing/2014/main" id="{9452CA0C-65DE-42F0-B675-17485F4AE9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586841</xdr:colOff>
      <xdr:row>22</xdr:row>
      <xdr:rowOff>108856</xdr:rowOff>
    </xdr:from>
    <xdr:to>
      <xdr:col>29</xdr:col>
      <xdr:colOff>27711</xdr:colOff>
      <xdr:row>43</xdr:row>
      <xdr:rowOff>163286</xdr:rowOff>
    </xdr:to>
    <xdr:graphicFrame macro="">
      <xdr:nvGraphicFramePr>
        <xdr:cNvPr id="10" name="Chart 9">
          <a:extLst>
            <a:ext uri="{FF2B5EF4-FFF2-40B4-BE49-F238E27FC236}">
              <a16:creationId xmlns:a16="http://schemas.microsoft.com/office/drawing/2014/main" id="{39879A60-7322-487F-9442-574F61421E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526482</xdr:colOff>
      <xdr:row>77</xdr:row>
      <xdr:rowOff>0</xdr:rowOff>
    </xdr:from>
    <xdr:to>
      <xdr:col>11</xdr:col>
      <xdr:colOff>83137</xdr:colOff>
      <xdr:row>99</xdr:row>
      <xdr:rowOff>0</xdr:rowOff>
    </xdr:to>
    <xdr:graphicFrame macro="">
      <xdr:nvGraphicFramePr>
        <xdr:cNvPr id="11" name="Chart 10">
          <a:extLst>
            <a:ext uri="{FF2B5EF4-FFF2-40B4-BE49-F238E27FC236}">
              <a16:creationId xmlns:a16="http://schemas.microsoft.com/office/drawing/2014/main" id="{D300537D-D743-497A-BECB-44C04161BA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250367</xdr:colOff>
      <xdr:row>77</xdr:row>
      <xdr:rowOff>-1</xdr:rowOff>
    </xdr:from>
    <xdr:to>
      <xdr:col>20</xdr:col>
      <xdr:colOff>402767</xdr:colOff>
      <xdr:row>99</xdr:row>
      <xdr:rowOff>-1</xdr:rowOff>
    </xdr:to>
    <xdr:graphicFrame macro="">
      <xdr:nvGraphicFramePr>
        <xdr:cNvPr id="12" name="Chart 11">
          <a:extLst>
            <a:ext uri="{FF2B5EF4-FFF2-40B4-BE49-F238E27FC236}">
              <a16:creationId xmlns:a16="http://schemas.microsoft.com/office/drawing/2014/main" id="{25B791F6-53B6-4C9D-A2AD-0A2492992C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560121</xdr:colOff>
      <xdr:row>77</xdr:row>
      <xdr:rowOff>10886</xdr:rowOff>
    </xdr:from>
    <xdr:to>
      <xdr:col>30</xdr:col>
      <xdr:colOff>96979</xdr:colOff>
      <xdr:row>99</xdr:row>
      <xdr:rowOff>13854</xdr:rowOff>
    </xdr:to>
    <xdr:graphicFrame macro="">
      <xdr:nvGraphicFramePr>
        <xdr:cNvPr id="13" name="Chart 12">
          <a:extLst>
            <a:ext uri="{FF2B5EF4-FFF2-40B4-BE49-F238E27FC236}">
              <a16:creationId xmlns:a16="http://schemas.microsoft.com/office/drawing/2014/main" id="{E17B6248-B99F-4E52-AEAE-90259FE9B5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185057</xdr:colOff>
      <xdr:row>9</xdr:row>
      <xdr:rowOff>130628</xdr:rowOff>
    </xdr:from>
    <xdr:to>
      <xdr:col>9</xdr:col>
      <xdr:colOff>435429</xdr:colOff>
      <xdr:row>15</xdr:row>
      <xdr:rowOff>0</xdr:rowOff>
    </xdr:to>
    <xdr:sp macro="" textlink="">
      <xdr:nvSpPr>
        <xdr:cNvPr id="14" name="TextBox 13">
          <a:extLst>
            <a:ext uri="{FF2B5EF4-FFF2-40B4-BE49-F238E27FC236}">
              <a16:creationId xmlns:a16="http://schemas.microsoft.com/office/drawing/2014/main" id="{F8F36BEB-C074-AD20-4E36-A0A7BEAF12A8}"/>
            </a:ext>
          </a:extLst>
        </xdr:cNvPr>
        <xdr:cNvSpPr txBox="1"/>
      </xdr:nvSpPr>
      <xdr:spPr>
        <a:xfrm>
          <a:off x="2623457" y="2536371"/>
          <a:ext cx="3298372" cy="97971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rgbClr val="7F7F7F"/>
              </a:solidFill>
            </a:rPr>
            <a:t>Total Orders</a:t>
          </a:r>
        </a:p>
        <a:p>
          <a:endParaRPr lang="en-US" sz="1100"/>
        </a:p>
      </xdr:txBody>
    </xdr:sp>
    <xdr:clientData/>
  </xdr:twoCellAnchor>
  <xdr:twoCellAnchor>
    <xdr:from>
      <xdr:col>10</xdr:col>
      <xdr:colOff>174171</xdr:colOff>
      <xdr:row>9</xdr:row>
      <xdr:rowOff>130629</xdr:rowOff>
    </xdr:from>
    <xdr:to>
      <xdr:col>15</xdr:col>
      <xdr:colOff>424543</xdr:colOff>
      <xdr:row>15</xdr:row>
      <xdr:rowOff>1</xdr:rowOff>
    </xdr:to>
    <xdr:sp macro="" textlink="">
      <xdr:nvSpPr>
        <xdr:cNvPr id="15" name="TextBox 14">
          <a:extLst>
            <a:ext uri="{FF2B5EF4-FFF2-40B4-BE49-F238E27FC236}">
              <a16:creationId xmlns:a16="http://schemas.microsoft.com/office/drawing/2014/main" id="{EADFC4A4-37BB-4F9D-B452-730AE7787B4F}"/>
            </a:ext>
          </a:extLst>
        </xdr:cNvPr>
        <xdr:cNvSpPr txBox="1"/>
      </xdr:nvSpPr>
      <xdr:spPr>
        <a:xfrm>
          <a:off x="6270171" y="2536372"/>
          <a:ext cx="3298372" cy="97971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rgbClr val="7F7F7F"/>
              </a:solidFill>
            </a:rPr>
            <a:t>Total Revenue</a:t>
          </a:r>
        </a:p>
      </xdr:txBody>
    </xdr:sp>
    <xdr:clientData/>
  </xdr:twoCellAnchor>
  <xdr:twoCellAnchor>
    <xdr:from>
      <xdr:col>16</xdr:col>
      <xdr:colOff>195941</xdr:colOff>
      <xdr:row>9</xdr:row>
      <xdr:rowOff>130627</xdr:rowOff>
    </xdr:from>
    <xdr:to>
      <xdr:col>21</xdr:col>
      <xdr:colOff>446313</xdr:colOff>
      <xdr:row>15</xdr:row>
      <xdr:rowOff>-1</xdr:rowOff>
    </xdr:to>
    <xdr:sp macro="" textlink="">
      <xdr:nvSpPr>
        <xdr:cNvPr id="16" name="TextBox 15">
          <a:extLst>
            <a:ext uri="{FF2B5EF4-FFF2-40B4-BE49-F238E27FC236}">
              <a16:creationId xmlns:a16="http://schemas.microsoft.com/office/drawing/2014/main" id="{4ACF6B58-30D7-4433-B7BA-08E7D10FCDC8}"/>
            </a:ext>
          </a:extLst>
        </xdr:cNvPr>
        <xdr:cNvSpPr txBox="1"/>
      </xdr:nvSpPr>
      <xdr:spPr>
        <a:xfrm>
          <a:off x="9949541" y="2536370"/>
          <a:ext cx="3298372" cy="97971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rgbClr val="7F7F7F"/>
              </a:solidFill>
            </a:rPr>
            <a:t>Average Revenue</a:t>
          </a:r>
        </a:p>
      </xdr:txBody>
    </xdr:sp>
    <xdr:clientData/>
  </xdr:twoCellAnchor>
  <xdr:twoCellAnchor>
    <xdr:from>
      <xdr:col>22</xdr:col>
      <xdr:colOff>185052</xdr:colOff>
      <xdr:row>9</xdr:row>
      <xdr:rowOff>130627</xdr:rowOff>
    </xdr:from>
    <xdr:to>
      <xdr:col>27</xdr:col>
      <xdr:colOff>435424</xdr:colOff>
      <xdr:row>16</xdr:row>
      <xdr:rowOff>0</xdr:rowOff>
    </xdr:to>
    <xdr:sp macro="" textlink="">
      <xdr:nvSpPr>
        <xdr:cNvPr id="17" name="TextBox 16">
          <a:extLst>
            <a:ext uri="{FF2B5EF4-FFF2-40B4-BE49-F238E27FC236}">
              <a16:creationId xmlns:a16="http://schemas.microsoft.com/office/drawing/2014/main" id="{A3CB8EB8-5868-4C50-963A-38C78367945D}"/>
            </a:ext>
          </a:extLst>
        </xdr:cNvPr>
        <xdr:cNvSpPr txBox="1"/>
      </xdr:nvSpPr>
      <xdr:spPr>
        <a:xfrm>
          <a:off x="13596252" y="2499754"/>
          <a:ext cx="3298372" cy="113013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rgbClr val="7F7F7F"/>
              </a:solidFill>
            </a:rPr>
            <a:t>Average</a:t>
          </a:r>
          <a:r>
            <a:rPr lang="en-US" sz="2800" b="1" baseline="0">
              <a:solidFill>
                <a:srgbClr val="7F7F7F"/>
              </a:solidFill>
            </a:rPr>
            <a:t> Discount Amount</a:t>
          </a:r>
          <a:endParaRPr lang="en-US" sz="2800" b="1">
            <a:solidFill>
              <a:srgbClr val="7F7F7F"/>
            </a:solidFill>
          </a:endParaRPr>
        </a:p>
      </xdr:txBody>
    </xdr:sp>
    <xdr:clientData/>
  </xdr:twoCellAnchor>
  <xdr:twoCellAnchor editAs="oneCell">
    <xdr:from>
      <xdr:col>13</xdr:col>
      <xdr:colOff>484908</xdr:colOff>
      <xdr:row>28</xdr:row>
      <xdr:rowOff>41564</xdr:rowOff>
    </xdr:from>
    <xdr:to>
      <xdr:col>18</xdr:col>
      <xdr:colOff>55417</xdr:colOff>
      <xdr:row>39</xdr:row>
      <xdr:rowOff>96982</xdr:rowOff>
    </xdr:to>
    <mc:AlternateContent xmlns:mc="http://schemas.openxmlformats.org/markup-compatibility/2006">
      <mc:Choice xmlns:a14="http://schemas.microsoft.com/office/drawing/2010/main" Requires="a14">
        <xdr:graphicFrame macro="">
          <xdr:nvGraphicFramePr>
            <xdr:cNvPr id="19" name="Product Name">
              <a:extLst>
                <a:ext uri="{FF2B5EF4-FFF2-40B4-BE49-F238E27FC236}">
                  <a16:creationId xmlns:a16="http://schemas.microsoft.com/office/drawing/2014/main" id="{268A338E-2587-43EF-9B57-BD4C1E569F9B}"/>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8409708" y="6386946"/>
              <a:ext cx="2618509" cy="20366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235527</xdr:colOff>
      <xdr:row>50</xdr:row>
      <xdr:rowOff>55417</xdr:rowOff>
    </xdr:from>
    <xdr:to>
      <xdr:col>18</xdr:col>
      <xdr:colOff>318655</xdr:colOff>
      <xdr:row>70</xdr:row>
      <xdr:rowOff>138545</xdr:rowOff>
    </xdr:to>
    <mc:AlternateContent xmlns:mc="http://schemas.openxmlformats.org/markup-compatibility/2006">
      <mc:Choice xmlns:a14="http://schemas.microsoft.com/office/drawing/2010/main" Requires="a14">
        <xdr:graphicFrame macro="">
          <xdr:nvGraphicFramePr>
            <xdr:cNvPr id="20" name="Date">
              <a:extLst>
                <a:ext uri="{FF2B5EF4-FFF2-40B4-BE49-F238E27FC236}">
                  <a16:creationId xmlns:a16="http://schemas.microsoft.com/office/drawing/2014/main" id="{4B3F4A2E-25CE-4EC1-8F46-0A98FDC2CC43}"/>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8160327" y="10584872"/>
              <a:ext cx="3131128" cy="36853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66.697680555553" createdVersion="8" refreshedVersion="8" minRefreshableVersion="3" recordCount="794" xr:uid="{761178DF-D97D-4AD4-A005-B8BC801CCADC}">
  <cacheSource type="worksheet">
    <worksheetSource name="Table3"/>
  </cacheSource>
  <cacheFields count="11">
    <cacheField name="Order ID" numFmtId="0">
      <sharedItems/>
    </cacheField>
    <cacheField name="Product ID" numFmtId="0">
      <sharedItems/>
    </cacheField>
    <cacheField name="Sale Date" numFmtId="15">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10"/>
    </cacheField>
    <cacheField name="Product Name" numFmtId="0">
      <sharedItems count="6">
        <s v="Paneer Tikka Pizzabun"/>
        <s v="Crispy Chole Pizzabun"/>
        <s v="Large Paneer Tikka Pizzabun"/>
        <s v="Medium Crispy Chole Pizzabun"/>
        <s v="Minty Pizzabun"/>
        <s v="Aloo Shots Pizzabun"/>
      </sharedItems>
    </cacheField>
    <cacheField name="Order Type" numFmtId="0">
      <sharedItems count="2">
        <s v="Online"/>
        <s v="Physical Visit"/>
      </sharedItems>
    </cacheField>
    <cacheField name="Price of One Product" numFmtId="0">
      <sharedItems containsSemiMixedTypes="0" containsString="0" containsNumber="1" containsInteger="1" minValue="60" maxValue="250"/>
    </cacheField>
    <cacheField name="Agent" numFmtId="0">
      <sharedItems/>
    </cacheField>
    <cacheField name="No of Products in one Sale" numFmtId="0">
      <sharedItems containsSemiMixedTypes="0" containsString="0" containsNumber="1" containsInteger="1" minValue="1" maxValue="15"/>
    </cacheField>
    <cacheField name="Discount" numFmtId="9">
      <sharedItems containsSemiMixedTypes="0" containsString="0" containsNumber="1" minValue="6.1305406292533338E-4" maxValue="0.99817658128489728"/>
    </cacheField>
    <cacheField name="Final Sale Price" numFmtId="2">
      <sharedItems containsSemiMixedTypes="0" containsString="0" containsNumber="1" minValue="189.43158220263396" maxValue="999.980972023346"/>
    </cacheField>
    <cacheField name="Days (Sale Date)" numFmtId="0" databaseField="0">
      <fieldGroup base="2">
        <rangePr groupBy="days" startDate="2022-06-13T00:00:00" endDate="2022-09-07T00:00:00"/>
        <groupItems count="368">
          <s v="&lt;6/13/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9/7/2022"/>
        </groupItems>
      </fieldGroup>
    </cacheField>
  </cacheFields>
  <extLst>
    <ext xmlns:x14="http://schemas.microsoft.com/office/spreadsheetml/2009/9/main" uri="{725AE2AE-9491-48be-B2B4-4EB974FC3084}">
      <x14:pivotCacheDefinition pivotCacheId="20745956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s v="PBOR00001"/>
    <s v="PIZB0001"/>
    <x v="0"/>
    <x v="0"/>
    <x v="0"/>
    <n v="72"/>
    <s v="Roch Cousineau"/>
    <n v="8"/>
    <n v="1.372080123313592E-2"/>
    <n v="575.98627919876685"/>
  </r>
  <r>
    <s v="PBOR00002"/>
    <s v="PIZB0002"/>
    <x v="1"/>
    <x v="1"/>
    <x v="1"/>
    <n v="65"/>
    <s v="Adrien Martin"/>
    <n v="7"/>
    <n v="2.2083854314921911E-2"/>
    <n v="454.97791614568507"/>
  </r>
  <r>
    <s v="PBOR00003"/>
    <s v="PIZB0003"/>
    <x v="2"/>
    <x v="2"/>
    <x v="0"/>
    <n v="250"/>
    <s v="Albain Forestier"/>
    <n v="3"/>
    <n v="0.92842323956324613"/>
    <n v="749.07157676043676"/>
  </r>
  <r>
    <s v="PBOR00004"/>
    <s v="PIZB0004"/>
    <x v="3"/>
    <x v="3"/>
    <x v="1"/>
    <n v="130"/>
    <s v="Roch Cousineau"/>
    <n v="5"/>
    <n v="0.20990358910221096"/>
    <n v="649.79009641089783"/>
  </r>
  <r>
    <s v="PBOR00005"/>
    <s v="PIZB0001"/>
    <x v="4"/>
    <x v="0"/>
    <x v="0"/>
    <n v="72"/>
    <s v="Adrien Martin"/>
    <n v="4"/>
    <n v="0.184343159134289"/>
    <n v="287.8156568408657"/>
  </r>
  <r>
    <s v="PBOR00006"/>
    <s v="PIZB0002"/>
    <x v="5"/>
    <x v="1"/>
    <x v="1"/>
    <n v="65"/>
    <s v="Albain Forestier"/>
    <n v="8"/>
    <n v="0.11144429073382323"/>
    <n v="519.88855570926614"/>
  </r>
  <r>
    <s v="PBOR00007"/>
    <s v="PIZB0003"/>
    <x v="1"/>
    <x v="2"/>
    <x v="0"/>
    <n v="250"/>
    <s v="Roch Cousineau"/>
    <n v="3"/>
    <n v="0.56286929186816415"/>
    <n v="749.4371307081318"/>
  </r>
  <r>
    <s v="PBOR00009"/>
    <s v="PIZB0004"/>
    <x v="6"/>
    <x v="3"/>
    <x v="1"/>
    <n v="130"/>
    <s v="Adrien Martin"/>
    <n v="6"/>
    <n v="3.138956050307417E-2"/>
    <n v="779.96861043949696"/>
  </r>
  <r>
    <s v="PBOR00010"/>
    <s v="PIZB0005"/>
    <x v="7"/>
    <x v="4"/>
    <x v="0"/>
    <n v="60"/>
    <s v="Albain Forestier"/>
    <n v="7"/>
    <n v="0.23798278495106248"/>
    <n v="419.76201721504896"/>
  </r>
  <r>
    <s v="PBOR00011"/>
    <s v="PIZB0001"/>
    <x v="6"/>
    <x v="0"/>
    <x v="1"/>
    <n v="72"/>
    <s v="Roch Cousineau"/>
    <n v="9"/>
    <n v="0.19712344024473996"/>
    <n v="647.8028765597553"/>
  </r>
  <r>
    <s v="PBOR00012"/>
    <s v="PIZB0002"/>
    <x v="2"/>
    <x v="1"/>
    <x v="0"/>
    <n v="65"/>
    <s v="Adrien Martin"/>
    <n v="4"/>
    <n v="6.8295799738434873E-2"/>
    <n v="259.93170420026155"/>
  </r>
  <r>
    <s v="PBOR00013"/>
    <s v="PIZB0003"/>
    <x v="8"/>
    <x v="2"/>
    <x v="1"/>
    <n v="250"/>
    <s v="Albain Forestier"/>
    <n v="3"/>
    <n v="1.6828522965904168E-2"/>
    <n v="749.98317147703415"/>
  </r>
  <r>
    <s v="PBOR00014"/>
    <s v="PIZB0004"/>
    <x v="9"/>
    <x v="3"/>
    <x v="0"/>
    <n v="130"/>
    <s v="Roch Cousineau"/>
    <n v="5"/>
    <n v="0.26661284065553453"/>
    <n v="649.73338715934449"/>
  </r>
  <r>
    <s v="PBOR00015"/>
    <s v="PIZB0001"/>
    <x v="4"/>
    <x v="0"/>
    <x v="1"/>
    <n v="72"/>
    <s v="Adrien Martin"/>
    <n v="12"/>
    <n v="0.21251347110701568"/>
    <n v="863.78748652889294"/>
  </r>
  <r>
    <s v="PBOR00016"/>
    <s v="PIZB0002"/>
    <x v="10"/>
    <x v="1"/>
    <x v="0"/>
    <n v="65"/>
    <s v="Albain Forestier"/>
    <n v="4"/>
    <n v="0.10994257661413849"/>
    <n v="259.89005742338588"/>
  </r>
  <r>
    <s v="PBOR00017"/>
    <s v="PIZB0003"/>
    <x v="10"/>
    <x v="2"/>
    <x v="1"/>
    <n v="250"/>
    <s v="Roch Cousineau"/>
    <n v="3"/>
    <n v="0.53607498908607099"/>
    <n v="749.46392501091395"/>
  </r>
  <r>
    <s v="PBOR00018"/>
    <s v="PIZB0004"/>
    <x v="6"/>
    <x v="3"/>
    <x v="0"/>
    <n v="130"/>
    <s v="Adrien Martin"/>
    <n v="5"/>
    <n v="3.7515550327758003E-2"/>
    <n v="649.96248444967227"/>
  </r>
  <r>
    <s v="PBOR00019"/>
    <s v="PIZB0005"/>
    <x v="9"/>
    <x v="4"/>
    <x v="0"/>
    <n v="60"/>
    <s v="Albain Forestier"/>
    <n v="13"/>
    <n v="2.4938289886663061E-2"/>
    <n v="779.97506171011332"/>
  </r>
  <r>
    <s v="PBOR00020"/>
    <s v="PIZB0006"/>
    <x v="10"/>
    <x v="5"/>
    <x v="1"/>
    <n v="95"/>
    <s v="Roch Cousineau"/>
    <n v="5"/>
    <n v="1.0123391970414241E-2"/>
    <n v="474.98987660802959"/>
  </r>
  <r>
    <s v="PBOR00021"/>
    <s v="PIZB0001"/>
    <x v="9"/>
    <x v="0"/>
    <x v="1"/>
    <n v="72"/>
    <s v="Adrien Martin"/>
    <n v="5"/>
    <n v="0.1308869366379137"/>
    <n v="359.86911306336208"/>
  </r>
  <r>
    <s v="PBOR00022"/>
    <s v="PIZB0002"/>
    <x v="10"/>
    <x v="1"/>
    <x v="1"/>
    <n v="65"/>
    <s v="Albain Forestier"/>
    <n v="4"/>
    <n v="6.6961969492996459E-2"/>
    <n v="259.93303803050702"/>
  </r>
  <r>
    <s v="PBOR00023"/>
    <s v="PIZB0003"/>
    <x v="2"/>
    <x v="2"/>
    <x v="0"/>
    <n v="250"/>
    <s v="Roch Cousineau"/>
    <n v="3"/>
    <n v="0.36350761794645753"/>
    <n v="749.63649238205358"/>
  </r>
  <r>
    <s v="PBOR00024"/>
    <s v="PIZB0004"/>
    <x v="11"/>
    <x v="3"/>
    <x v="0"/>
    <n v="130"/>
    <s v="Adrien Martin"/>
    <n v="6"/>
    <n v="0.30841415491993102"/>
    <n v="779.69158584508011"/>
  </r>
  <r>
    <s v="PBOR00025"/>
    <s v="PIZB0001"/>
    <x v="9"/>
    <x v="0"/>
    <x v="0"/>
    <n v="72"/>
    <s v="Albain Forestier"/>
    <n v="8"/>
    <n v="0.21287301321989574"/>
    <n v="575.78712698678009"/>
  </r>
  <r>
    <s v="PBOR00026"/>
    <s v="PIZB0002"/>
    <x v="12"/>
    <x v="1"/>
    <x v="0"/>
    <n v="65"/>
    <s v="Roch Cousineau"/>
    <n v="5"/>
    <n v="0.11047742601795077"/>
    <n v="324.88952257398205"/>
  </r>
  <r>
    <s v="PBOR00027"/>
    <s v="PIZB0003"/>
    <x v="4"/>
    <x v="2"/>
    <x v="0"/>
    <n v="250"/>
    <s v="Adrien Martin"/>
    <n v="2"/>
    <n v="4.8799156151631218E-2"/>
    <n v="499.95120084384837"/>
  </r>
  <r>
    <s v="PBOR00035"/>
    <s v="PIZB0004"/>
    <x v="10"/>
    <x v="3"/>
    <x v="0"/>
    <n v="130"/>
    <s v="Albain Forestier"/>
    <n v="3"/>
    <n v="0.27879506176921365"/>
    <n v="389.72120493823081"/>
  </r>
  <r>
    <s v="PBOR00029"/>
    <s v="PIZB0005"/>
    <x v="10"/>
    <x v="4"/>
    <x v="0"/>
    <n v="60"/>
    <s v="Roch Cousineau"/>
    <n v="14"/>
    <n v="7.6045534046593019E-2"/>
    <n v="839.92395446595344"/>
  </r>
  <r>
    <s v="PBOR00030"/>
    <s v="PIZB0001"/>
    <x v="2"/>
    <x v="0"/>
    <x v="0"/>
    <n v="72"/>
    <s v="Adrien Martin"/>
    <n v="12"/>
    <n v="0.12055762754740325"/>
    <n v="863.87944237245256"/>
  </r>
  <r>
    <s v="PBOR00031"/>
    <s v="PIZB0002"/>
    <x v="5"/>
    <x v="1"/>
    <x v="0"/>
    <n v="65"/>
    <s v="Albain Forestier"/>
    <n v="5"/>
    <n v="0.30283946337780637"/>
    <n v="324.69716053662222"/>
  </r>
  <r>
    <s v="PBOR00032"/>
    <s v="PIZB0003"/>
    <x v="11"/>
    <x v="2"/>
    <x v="1"/>
    <n v="250"/>
    <s v="Roch Cousineau"/>
    <n v="1"/>
    <n v="0.41401829873258272"/>
    <n v="249.58598170126743"/>
  </r>
  <r>
    <s v="PBOR00033"/>
    <s v="PIZB0004"/>
    <x v="13"/>
    <x v="3"/>
    <x v="0"/>
    <n v="130"/>
    <s v="Adrien Martin"/>
    <n v="4"/>
    <n v="6.1603660271292333E-3"/>
    <n v="519.99383963397293"/>
  </r>
  <r>
    <s v="PBOR00036"/>
    <s v="PIZB0001"/>
    <x v="14"/>
    <x v="0"/>
    <x v="0"/>
    <n v="72"/>
    <s v="Albain Forestier"/>
    <n v="8"/>
    <n v="0.10495963672233184"/>
    <n v="575.89504036327764"/>
  </r>
  <r>
    <s v="PBOR00037"/>
    <s v="PIZB0002"/>
    <x v="9"/>
    <x v="1"/>
    <x v="0"/>
    <n v="65"/>
    <s v="Roch Cousineau"/>
    <n v="12"/>
    <n v="0.29377273906475571"/>
    <n v="779.70622726093529"/>
  </r>
  <r>
    <s v="PBOR00038"/>
    <s v="PIZB0003"/>
    <x v="7"/>
    <x v="2"/>
    <x v="0"/>
    <n v="250"/>
    <s v="Adrien Martin"/>
    <n v="3"/>
    <n v="0.56559810101924179"/>
    <n v="749.43440189898081"/>
  </r>
  <r>
    <s v="PBOR00040"/>
    <s v="PIZB0004"/>
    <x v="15"/>
    <x v="3"/>
    <x v="0"/>
    <n v="130"/>
    <s v="Albain Forestier"/>
    <n v="3"/>
    <n v="0.14180367825735268"/>
    <n v="389.85819632174264"/>
  </r>
  <r>
    <s v="PBOR00041"/>
    <s v="PIZB0005"/>
    <x v="15"/>
    <x v="4"/>
    <x v="1"/>
    <n v="60"/>
    <s v="Roch Cousineau"/>
    <n v="11"/>
    <n v="0.19727585407121537"/>
    <n v="659.80272414592878"/>
  </r>
  <r>
    <s v="PBOR00042"/>
    <s v="PIZB0006"/>
    <x v="8"/>
    <x v="5"/>
    <x v="0"/>
    <n v="95"/>
    <s v="Adrien Martin"/>
    <n v="8"/>
    <n v="0.16026707373910823"/>
    <n v="759.83973292626092"/>
  </r>
  <r>
    <s v="PBOR00043"/>
    <s v="PIZB0001"/>
    <x v="4"/>
    <x v="0"/>
    <x v="0"/>
    <n v="72"/>
    <s v="Albain Forestier"/>
    <n v="5"/>
    <n v="3.6754234817017679E-2"/>
    <n v="359.96324576518299"/>
  </r>
  <r>
    <s v="PBOR00044"/>
    <s v="PIZB0002"/>
    <x v="12"/>
    <x v="1"/>
    <x v="0"/>
    <n v="65"/>
    <s v="Roch Cousineau"/>
    <n v="6"/>
    <n v="0.12047427034169578"/>
    <n v="389.87952572965833"/>
  </r>
  <r>
    <s v="PBOR00045"/>
    <s v="PIZB0003"/>
    <x v="5"/>
    <x v="2"/>
    <x v="1"/>
    <n v="250"/>
    <s v="Adrien Martin"/>
    <n v="1"/>
    <n v="0.38636401364592987"/>
    <n v="249.61363598635407"/>
  </r>
  <r>
    <s v="PBOR00046"/>
    <s v="PIZB0004"/>
    <x v="8"/>
    <x v="3"/>
    <x v="1"/>
    <n v="130"/>
    <s v="Albain Forestier"/>
    <n v="7"/>
    <n v="0.25111930985495906"/>
    <n v="909.74888069014503"/>
  </r>
  <r>
    <s v="PBOR00047"/>
    <s v="PIZB0001"/>
    <x v="15"/>
    <x v="0"/>
    <x v="1"/>
    <n v="72"/>
    <s v="Roch Cousineau"/>
    <n v="7"/>
    <n v="0.18099169049889144"/>
    <n v="503.8190083095011"/>
  </r>
  <r>
    <s v="PBOR00048"/>
    <s v="PIZB0002"/>
    <x v="10"/>
    <x v="1"/>
    <x v="1"/>
    <n v="65"/>
    <s v="Adrien Martin"/>
    <n v="3"/>
    <n v="0.17363786365000505"/>
    <n v="194.82636213634999"/>
  </r>
  <r>
    <s v="PBOR00049"/>
    <s v="PIZB0003"/>
    <x v="9"/>
    <x v="2"/>
    <x v="1"/>
    <n v="250"/>
    <s v="Albain Forestier"/>
    <n v="1"/>
    <n v="0.75489814137474298"/>
    <n v="249.24510185862525"/>
  </r>
  <r>
    <s v="PBOR00050"/>
    <s v="PIZB0004"/>
    <x v="7"/>
    <x v="3"/>
    <x v="1"/>
    <n v="130"/>
    <s v="Roch Cousineau"/>
    <n v="6"/>
    <n v="0.41826226246410803"/>
    <n v="779.58173773753595"/>
  </r>
  <r>
    <s v="PBOR00051"/>
    <s v="PIZB0001"/>
    <x v="14"/>
    <x v="0"/>
    <x v="0"/>
    <n v="72"/>
    <s v="Roch Cousineau"/>
    <n v="4"/>
    <n v="1.372080123313592E-2"/>
    <n v="287.98627919876685"/>
  </r>
  <r>
    <s v="PBOR00052"/>
    <s v="PIZB0002"/>
    <x v="16"/>
    <x v="1"/>
    <x v="1"/>
    <n v="65"/>
    <s v="Adrien Martin"/>
    <n v="6"/>
    <n v="2.2083854314921911E-2"/>
    <n v="389.97791614568507"/>
  </r>
  <r>
    <s v="PBOR00053"/>
    <s v="PIZB0003"/>
    <x v="17"/>
    <x v="2"/>
    <x v="0"/>
    <n v="250"/>
    <s v="Albain Forestier"/>
    <n v="3"/>
    <n v="0.92842323956324613"/>
    <n v="749.07157676043676"/>
  </r>
  <r>
    <s v="PBOR00054"/>
    <s v="PIZB0004"/>
    <x v="17"/>
    <x v="3"/>
    <x v="1"/>
    <n v="130"/>
    <s v="Roch Cousineau"/>
    <n v="2"/>
    <n v="0.20990358910221096"/>
    <n v="259.79009641089777"/>
  </r>
  <r>
    <s v="PBOR00055"/>
    <s v="PIZB0001"/>
    <x v="5"/>
    <x v="0"/>
    <x v="0"/>
    <n v="72"/>
    <s v="Adrien Martin"/>
    <n v="5"/>
    <n v="0.184343159134289"/>
    <n v="359.8156568408657"/>
  </r>
  <r>
    <s v="PBOR00056"/>
    <s v="PIZB0002"/>
    <x v="16"/>
    <x v="1"/>
    <x v="1"/>
    <n v="65"/>
    <s v="Albain Forestier"/>
    <n v="8"/>
    <n v="0.11144429073382323"/>
    <n v="519.88855570926614"/>
  </r>
  <r>
    <s v="PBOR00057"/>
    <s v="PIZB0003"/>
    <x v="1"/>
    <x v="2"/>
    <x v="0"/>
    <n v="250"/>
    <s v="Roch Cousineau"/>
    <n v="3"/>
    <n v="0.56286929186816415"/>
    <n v="749.4371307081318"/>
  </r>
  <r>
    <s v="PBOR00058"/>
    <s v="PIZB0004"/>
    <x v="18"/>
    <x v="3"/>
    <x v="1"/>
    <n v="130"/>
    <s v="Adrien Martin"/>
    <n v="3"/>
    <n v="3.138956050307417E-2"/>
    <n v="389.9686104394969"/>
  </r>
  <r>
    <s v="PBOR00059"/>
    <s v="PIZB0005"/>
    <x v="3"/>
    <x v="4"/>
    <x v="0"/>
    <n v="60"/>
    <s v="Albain Forestier"/>
    <n v="13"/>
    <n v="0.23798278495106248"/>
    <n v="779.7620172150489"/>
  </r>
  <r>
    <s v="PBOR00060"/>
    <s v="PIZB0001"/>
    <x v="19"/>
    <x v="0"/>
    <x v="1"/>
    <n v="72"/>
    <s v="Roch Cousineau"/>
    <n v="5"/>
    <n v="0.19712344024473996"/>
    <n v="359.80287655975525"/>
  </r>
  <r>
    <s v="PBOR00061"/>
    <s v="PIZB0002"/>
    <x v="20"/>
    <x v="1"/>
    <x v="0"/>
    <n v="65"/>
    <s v="Adrien Martin"/>
    <n v="7"/>
    <n v="6.8295799738434873E-2"/>
    <n v="454.93170420026155"/>
  </r>
  <r>
    <s v="PBOR00062"/>
    <s v="PIZB0003"/>
    <x v="21"/>
    <x v="2"/>
    <x v="1"/>
    <n v="250"/>
    <s v="Albain Forestier"/>
    <n v="3"/>
    <n v="1.6828522965904168E-2"/>
    <n v="749.98317147703415"/>
  </r>
  <r>
    <s v="PBOR00063"/>
    <s v="PIZB0004"/>
    <x v="22"/>
    <x v="3"/>
    <x v="0"/>
    <n v="130"/>
    <s v="Roch Cousineau"/>
    <n v="6"/>
    <n v="0.26661284065553453"/>
    <n v="779.73338715934449"/>
  </r>
  <r>
    <s v="PBOR00064"/>
    <s v="PIZB0001"/>
    <x v="23"/>
    <x v="0"/>
    <x v="1"/>
    <n v="72"/>
    <s v="Adrien Martin"/>
    <n v="11"/>
    <n v="0.21251347110701568"/>
    <n v="791.78748652889294"/>
  </r>
  <r>
    <s v="PBOR00065"/>
    <s v="PIZB0002"/>
    <x v="24"/>
    <x v="1"/>
    <x v="0"/>
    <n v="65"/>
    <s v="Albain Forestier"/>
    <n v="12"/>
    <n v="0.10994257661413849"/>
    <n v="779.89005742338588"/>
  </r>
  <r>
    <s v="PBOR00066"/>
    <s v="PIZB0003"/>
    <x v="16"/>
    <x v="2"/>
    <x v="1"/>
    <n v="250"/>
    <s v="Roch Cousineau"/>
    <n v="2"/>
    <n v="0.53607498908607099"/>
    <n v="499.46392501091395"/>
  </r>
  <r>
    <s v="PBOR00067"/>
    <s v="PIZB0004"/>
    <x v="25"/>
    <x v="3"/>
    <x v="0"/>
    <n v="130"/>
    <s v="Adrien Martin"/>
    <n v="6"/>
    <n v="3.7515550327758003E-2"/>
    <n v="779.96248444967227"/>
  </r>
  <r>
    <s v="PBOR00068"/>
    <s v="PIZB0005"/>
    <x v="6"/>
    <x v="4"/>
    <x v="0"/>
    <n v="60"/>
    <s v="Albain Forestier"/>
    <n v="15"/>
    <n v="2.4938289886663061E-2"/>
    <n v="899.97506171011332"/>
  </r>
  <r>
    <s v="PBOR00069"/>
    <s v="PIZB0006"/>
    <x v="2"/>
    <x v="5"/>
    <x v="1"/>
    <n v="95"/>
    <s v="Roch Cousineau"/>
    <n v="9"/>
    <n v="1.0123391970414241E-2"/>
    <n v="854.98987660802959"/>
  </r>
  <r>
    <s v="PBOR00070"/>
    <s v="PIZB0001"/>
    <x v="26"/>
    <x v="0"/>
    <x v="1"/>
    <n v="72"/>
    <s v="Adrien Martin"/>
    <n v="12"/>
    <n v="0.1308869366379137"/>
    <n v="863.86911306336208"/>
  </r>
  <r>
    <s v="PBOR00071"/>
    <s v="PIZB0002"/>
    <x v="4"/>
    <x v="1"/>
    <x v="1"/>
    <n v="65"/>
    <s v="Albain Forestier"/>
    <n v="7"/>
    <n v="6.6961969492996459E-2"/>
    <n v="454.93303803050702"/>
  </r>
  <r>
    <s v="PBOR00072"/>
    <s v="PIZB0003"/>
    <x v="27"/>
    <x v="2"/>
    <x v="0"/>
    <n v="250"/>
    <s v="Roch Cousineau"/>
    <n v="3"/>
    <n v="0.36350761794645753"/>
    <n v="749.63649238205358"/>
  </r>
  <r>
    <s v="PBOR00073"/>
    <s v="PIZB0004"/>
    <x v="15"/>
    <x v="3"/>
    <x v="0"/>
    <n v="130"/>
    <s v="Adrien Martin"/>
    <n v="6"/>
    <n v="0.30841415491993102"/>
    <n v="779.69158584508011"/>
  </r>
  <r>
    <s v="PBOR00074"/>
    <s v="PIZB0001"/>
    <x v="28"/>
    <x v="0"/>
    <x v="0"/>
    <n v="72"/>
    <s v="Albain Forestier"/>
    <n v="9"/>
    <n v="0.21287301321989574"/>
    <n v="647.78712698678009"/>
  </r>
  <r>
    <s v="PBOR00075"/>
    <s v="PIZB0002"/>
    <x v="8"/>
    <x v="1"/>
    <x v="0"/>
    <n v="65"/>
    <s v="Roch Cousineau"/>
    <n v="4"/>
    <n v="0.11047742601795077"/>
    <n v="259.88952257398205"/>
  </r>
  <r>
    <s v="PBOR00076"/>
    <s v="PIZB0003"/>
    <x v="6"/>
    <x v="2"/>
    <x v="0"/>
    <n v="250"/>
    <s v="Adrien Martin"/>
    <n v="2"/>
    <n v="4.8799156151631218E-2"/>
    <n v="499.95120084384837"/>
  </r>
  <r>
    <s v="PBOR00077"/>
    <s v="PIZB0004"/>
    <x v="27"/>
    <x v="3"/>
    <x v="0"/>
    <n v="130"/>
    <s v="Albain Forestier"/>
    <n v="6"/>
    <n v="0.27879506176921365"/>
    <n v="779.72120493823081"/>
  </r>
  <r>
    <s v="PBOR00078"/>
    <s v="PIZB0005"/>
    <x v="10"/>
    <x v="4"/>
    <x v="0"/>
    <n v="60"/>
    <s v="Roch Cousineau"/>
    <n v="9"/>
    <n v="7.6045534046593019E-2"/>
    <n v="539.92395446595344"/>
  </r>
  <r>
    <s v="PBOR00079"/>
    <s v="PIZB0001"/>
    <x v="29"/>
    <x v="0"/>
    <x v="0"/>
    <n v="72"/>
    <s v="Adrien Martin"/>
    <n v="11"/>
    <n v="0.12055762754740325"/>
    <n v="791.87944237245256"/>
  </r>
  <r>
    <s v="PBOR00080"/>
    <s v="PIZB0002"/>
    <x v="30"/>
    <x v="1"/>
    <x v="0"/>
    <n v="65"/>
    <s v="Albain Forestier"/>
    <n v="13"/>
    <n v="0.30283946337780637"/>
    <n v="844.69716053662216"/>
  </r>
  <r>
    <s v="PBOR00081"/>
    <s v="PIZB0003"/>
    <x v="31"/>
    <x v="2"/>
    <x v="1"/>
    <n v="250"/>
    <s v="Roch Cousineau"/>
    <n v="2"/>
    <n v="0.41401829873258272"/>
    <n v="499.58598170126743"/>
  </r>
  <r>
    <s v="PBOR00082"/>
    <s v="PIZB0004"/>
    <x v="27"/>
    <x v="3"/>
    <x v="0"/>
    <n v="130"/>
    <s v="Adrien Martin"/>
    <n v="6"/>
    <n v="6.1603660271292333E-3"/>
    <n v="779.99383963397293"/>
  </r>
  <r>
    <s v="PBOR00083"/>
    <s v="PIZB0001"/>
    <x v="29"/>
    <x v="0"/>
    <x v="0"/>
    <n v="72"/>
    <s v="Albain Forestier"/>
    <n v="12"/>
    <n v="0.10495963672233184"/>
    <n v="863.89504036327764"/>
  </r>
  <r>
    <s v="PBOR00084"/>
    <s v="PIZB0002"/>
    <x v="1"/>
    <x v="1"/>
    <x v="0"/>
    <n v="65"/>
    <s v="Roch Cousineau"/>
    <n v="11"/>
    <n v="0.29377273906475571"/>
    <n v="714.70622726093529"/>
  </r>
  <r>
    <s v="PBOR00085"/>
    <s v="PIZB0003"/>
    <x v="11"/>
    <x v="2"/>
    <x v="0"/>
    <n v="250"/>
    <s v="Adrien Martin"/>
    <n v="3"/>
    <n v="0.56559810101924179"/>
    <n v="749.43440189898081"/>
  </r>
  <r>
    <s v="PBOR00086"/>
    <s v="PIZB0004"/>
    <x v="5"/>
    <x v="3"/>
    <x v="0"/>
    <n v="130"/>
    <s v="Albain Forestier"/>
    <n v="4"/>
    <n v="0.14180367825735268"/>
    <n v="519.85819632174264"/>
  </r>
  <r>
    <s v="PBOR00087"/>
    <s v="PIZB0005"/>
    <x v="2"/>
    <x v="4"/>
    <x v="1"/>
    <n v="60"/>
    <s v="Roch Cousineau"/>
    <n v="14"/>
    <n v="0.19727585407121537"/>
    <n v="839.80272414592878"/>
  </r>
  <r>
    <s v="PBOR00088"/>
    <s v="PIZB0006"/>
    <x v="31"/>
    <x v="5"/>
    <x v="0"/>
    <n v="95"/>
    <s v="Adrien Martin"/>
    <n v="2"/>
    <n v="0.16026707373910823"/>
    <n v="189.83973292626089"/>
  </r>
  <r>
    <s v="PBOR00089"/>
    <s v="PIZB0001"/>
    <x v="3"/>
    <x v="0"/>
    <x v="0"/>
    <n v="72"/>
    <s v="Albain Forestier"/>
    <n v="4"/>
    <n v="3.6754234817017679E-2"/>
    <n v="287.96324576518299"/>
  </r>
  <r>
    <s v="PBOR00090"/>
    <s v="PIZB0002"/>
    <x v="25"/>
    <x v="1"/>
    <x v="0"/>
    <n v="65"/>
    <s v="Roch Cousineau"/>
    <n v="6"/>
    <n v="0.12047427034169578"/>
    <n v="389.87952572965833"/>
  </r>
  <r>
    <s v="PBOR00091"/>
    <s v="PIZB0003"/>
    <x v="7"/>
    <x v="2"/>
    <x v="1"/>
    <n v="250"/>
    <s v="Adrien Martin"/>
    <n v="2"/>
    <n v="0.38636401364592987"/>
    <n v="499.6136359863541"/>
  </r>
  <r>
    <s v="PBOR00092"/>
    <s v="PIZB0004"/>
    <x v="25"/>
    <x v="3"/>
    <x v="1"/>
    <n v="130"/>
    <s v="Albain Forestier"/>
    <n v="5"/>
    <n v="0.25111930985495906"/>
    <n v="649.74888069014503"/>
  </r>
  <r>
    <s v="PBOR00093"/>
    <s v="PIZB0001"/>
    <x v="32"/>
    <x v="0"/>
    <x v="1"/>
    <n v="72"/>
    <s v="Roch Cousineau"/>
    <n v="6"/>
    <n v="0.18099169049889144"/>
    <n v="431.8190083095011"/>
  </r>
  <r>
    <s v="PBOR00094"/>
    <s v="PIZB0002"/>
    <x v="33"/>
    <x v="1"/>
    <x v="1"/>
    <n v="65"/>
    <s v="Adrien Martin"/>
    <n v="6"/>
    <n v="0.17363786365000505"/>
    <n v="389.82636213634999"/>
  </r>
  <r>
    <s v="PBOR00095"/>
    <s v="PIZB0003"/>
    <x v="33"/>
    <x v="2"/>
    <x v="1"/>
    <n v="250"/>
    <s v="Albain Forestier"/>
    <n v="3"/>
    <n v="0.75489814137474298"/>
    <n v="749.24510185862528"/>
  </r>
  <r>
    <s v="PBOR00096"/>
    <s v="PIZB0004"/>
    <x v="22"/>
    <x v="3"/>
    <x v="1"/>
    <n v="130"/>
    <s v="Roch Cousineau"/>
    <n v="4"/>
    <n v="0.41826226246410803"/>
    <n v="519.58173773753595"/>
  </r>
  <r>
    <s v="PBOR00097"/>
    <s v="PIZB0001"/>
    <x v="34"/>
    <x v="0"/>
    <x v="0"/>
    <n v="72"/>
    <s v="Roch Cousineau"/>
    <n v="11"/>
    <n v="0.52183512590850833"/>
    <n v="791.47816487409148"/>
  </r>
  <r>
    <s v="PBOR00098"/>
    <s v="PIZB0002"/>
    <x v="7"/>
    <x v="1"/>
    <x v="1"/>
    <n v="65"/>
    <s v="Adrien Martin"/>
    <n v="12"/>
    <n v="0.4407264983607897"/>
    <n v="779.55927350163915"/>
  </r>
  <r>
    <s v="PBOR00099"/>
    <s v="PIZB0003"/>
    <x v="3"/>
    <x v="2"/>
    <x v="0"/>
    <n v="250"/>
    <s v="Albain Forestier"/>
    <n v="3"/>
    <n v="0.30123769132028422"/>
    <n v="749.69876230867976"/>
  </r>
  <r>
    <s v="PBOR00100"/>
    <s v="PIZB0004"/>
    <x v="31"/>
    <x v="3"/>
    <x v="1"/>
    <n v="130"/>
    <s v="Roch Cousineau"/>
    <n v="4"/>
    <n v="0.42020557863905661"/>
    <n v="519.57979442136093"/>
  </r>
  <r>
    <s v="PBOR00101"/>
    <s v="PIZB0001"/>
    <x v="4"/>
    <x v="0"/>
    <x v="0"/>
    <n v="72"/>
    <s v="Adrien Martin"/>
    <n v="10"/>
    <n v="0.38179966249899233"/>
    <n v="719.61820033750098"/>
  </r>
  <r>
    <s v="PBOR00102"/>
    <s v="PIZB0002"/>
    <x v="34"/>
    <x v="1"/>
    <x v="1"/>
    <n v="65"/>
    <s v="Albain Forestier"/>
    <n v="5"/>
    <n v="4.8435914836800764E-3"/>
    <n v="324.99515640851632"/>
  </r>
  <r>
    <s v="PBOR00103"/>
    <s v="PIZB0003"/>
    <x v="13"/>
    <x v="2"/>
    <x v="0"/>
    <n v="250"/>
    <s v="Roch Cousineau"/>
    <n v="2"/>
    <n v="0.63857584714373206"/>
    <n v="499.36142415285627"/>
  </r>
  <r>
    <s v="PBOR00104"/>
    <s v="PIZB0004"/>
    <x v="35"/>
    <x v="3"/>
    <x v="1"/>
    <n v="130"/>
    <s v="Adrien Martin"/>
    <n v="7"/>
    <n v="0.92544771931561698"/>
    <n v="909.07455228068443"/>
  </r>
  <r>
    <s v="PBOR00105"/>
    <s v="PIZB0005"/>
    <x v="2"/>
    <x v="4"/>
    <x v="0"/>
    <n v="60"/>
    <s v="Albain Forestier"/>
    <n v="10"/>
    <n v="4.9069353138029403E-2"/>
    <n v="599.95093064686193"/>
  </r>
  <r>
    <s v="PBOR00106"/>
    <s v="PIZB0001"/>
    <x v="13"/>
    <x v="0"/>
    <x v="1"/>
    <n v="72"/>
    <s v="Roch Cousineau"/>
    <n v="11"/>
    <n v="0.7875779554918797"/>
    <n v="791.21242204450812"/>
  </r>
  <r>
    <s v="PBOR00107"/>
    <s v="PIZB0002"/>
    <x v="18"/>
    <x v="1"/>
    <x v="0"/>
    <n v="65"/>
    <s v="Adrien Martin"/>
    <n v="13"/>
    <n v="0.4468603878067412"/>
    <n v="844.55313961219326"/>
  </r>
  <r>
    <s v="PBOR00108"/>
    <s v="PIZB0003"/>
    <x v="23"/>
    <x v="2"/>
    <x v="1"/>
    <n v="250"/>
    <s v="Albain Forestier"/>
    <n v="2"/>
    <n v="0.89674363393446022"/>
    <n v="499.10325636606552"/>
  </r>
  <r>
    <s v="PBOR00109"/>
    <s v="PIZB0004"/>
    <x v="36"/>
    <x v="3"/>
    <x v="0"/>
    <n v="130"/>
    <s v="Roch Cousineau"/>
    <n v="6"/>
    <n v="3.2373342558606799E-2"/>
    <n v="779.96762665744143"/>
  </r>
  <r>
    <s v="PBOR00110"/>
    <s v="PIZB0001"/>
    <x v="37"/>
    <x v="0"/>
    <x v="1"/>
    <n v="72"/>
    <s v="Adrien Martin"/>
    <n v="11"/>
    <n v="0.94247200152138155"/>
    <n v="791.05752799847858"/>
  </r>
  <r>
    <s v="PBOR00111"/>
    <s v="PIZB0002"/>
    <x v="4"/>
    <x v="1"/>
    <x v="0"/>
    <n v="65"/>
    <s v="Albain Forestier"/>
    <n v="7"/>
    <n v="0.24863680679080546"/>
    <n v="454.75136319320922"/>
  </r>
  <r>
    <s v="PBOR00112"/>
    <s v="PIZB0003"/>
    <x v="3"/>
    <x v="2"/>
    <x v="1"/>
    <n v="250"/>
    <s v="Roch Cousineau"/>
    <n v="1"/>
    <n v="4.9896521056402299E-2"/>
    <n v="249.95010347894359"/>
  </r>
  <r>
    <s v="PBOR00113"/>
    <s v="PIZB0004"/>
    <x v="35"/>
    <x v="3"/>
    <x v="0"/>
    <n v="130"/>
    <s v="Adrien Martin"/>
    <n v="7"/>
    <n v="0.49618340188276622"/>
    <n v="909.50381659811728"/>
  </r>
  <r>
    <s v="PBOR00114"/>
    <s v="PIZB0005"/>
    <x v="11"/>
    <x v="4"/>
    <x v="0"/>
    <n v="60"/>
    <s v="Albain Forestier"/>
    <n v="13"/>
    <n v="0.62889621592411693"/>
    <n v="779.3711037840759"/>
  </r>
  <r>
    <s v="PBOR00115"/>
    <s v="PIZB0006"/>
    <x v="10"/>
    <x v="5"/>
    <x v="1"/>
    <n v="95"/>
    <s v="Roch Cousineau"/>
    <n v="8"/>
    <n v="0.87580490637929664"/>
    <n v="759.12419509362076"/>
  </r>
  <r>
    <s v="PBOR00116"/>
    <s v="PIZB0001"/>
    <x v="1"/>
    <x v="0"/>
    <x v="1"/>
    <n v="72"/>
    <s v="Adrien Martin"/>
    <n v="11"/>
    <n v="0.37069854126093349"/>
    <n v="791.62930145873906"/>
  </r>
  <r>
    <s v="PBOR00117"/>
    <s v="PIZB0002"/>
    <x v="17"/>
    <x v="1"/>
    <x v="1"/>
    <n v="65"/>
    <s v="Albain Forestier"/>
    <n v="10"/>
    <n v="0.64422602074286228"/>
    <n v="649.35577397925715"/>
  </r>
  <r>
    <s v="PBOR00118"/>
    <s v="PIZB0003"/>
    <x v="17"/>
    <x v="2"/>
    <x v="0"/>
    <n v="250"/>
    <s v="Roch Cousineau"/>
    <n v="2"/>
    <n v="0.76652707543193765"/>
    <n v="499.23347292456805"/>
  </r>
  <r>
    <s v="PBOR00119"/>
    <s v="PIZB0004"/>
    <x v="37"/>
    <x v="3"/>
    <x v="0"/>
    <n v="130"/>
    <s v="Adrien Martin"/>
    <n v="2"/>
    <n v="0.74416329829954486"/>
    <n v="259.25583670170045"/>
  </r>
  <r>
    <s v="PBOR00120"/>
    <s v="PIZB0001"/>
    <x v="4"/>
    <x v="0"/>
    <x v="0"/>
    <n v="72"/>
    <s v="Albain Forestier"/>
    <n v="8"/>
    <n v="0.48484032292333201"/>
    <n v="575.51515967707667"/>
  </r>
  <r>
    <s v="PBOR00121"/>
    <s v="PIZB0002"/>
    <x v="2"/>
    <x v="1"/>
    <x v="0"/>
    <n v="65"/>
    <s v="Roch Cousineau"/>
    <n v="8"/>
    <n v="0.10556900790048951"/>
    <n v="519.8944309920995"/>
  </r>
  <r>
    <s v="PBOR00122"/>
    <s v="PIZB0003"/>
    <x v="12"/>
    <x v="2"/>
    <x v="0"/>
    <n v="250"/>
    <s v="Adrien Martin"/>
    <n v="1"/>
    <n v="0.35681327352398817"/>
    <n v="249.64318672647602"/>
  </r>
  <r>
    <s v="PBOR00123"/>
    <s v="PIZB0004"/>
    <x v="0"/>
    <x v="3"/>
    <x v="0"/>
    <n v="130"/>
    <s v="Albain Forestier"/>
    <n v="2"/>
    <n v="0.38966155247167111"/>
    <n v="259.61033844752831"/>
  </r>
  <r>
    <s v="PBOR00124"/>
    <s v="PIZB0005"/>
    <x v="38"/>
    <x v="4"/>
    <x v="0"/>
    <n v="60"/>
    <s v="Roch Cousineau"/>
    <n v="6"/>
    <n v="0.27342799854809485"/>
    <n v="359.72657200145193"/>
  </r>
  <r>
    <s v="PBOR00125"/>
    <s v="PIZB0001"/>
    <x v="1"/>
    <x v="0"/>
    <x v="0"/>
    <n v="72"/>
    <s v="Adrien Martin"/>
    <n v="11"/>
    <n v="0.68404340685026022"/>
    <n v="791.31595659314974"/>
  </r>
  <r>
    <s v="PBOR00126"/>
    <s v="PIZB0002"/>
    <x v="2"/>
    <x v="1"/>
    <x v="0"/>
    <n v="65"/>
    <s v="Albain Forestier"/>
    <n v="4"/>
    <n v="0.30511671475159663"/>
    <n v="259.69488328524841"/>
  </r>
  <r>
    <s v="PBOR00127"/>
    <s v="PIZB0003"/>
    <x v="5"/>
    <x v="2"/>
    <x v="1"/>
    <n v="250"/>
    <s v="Roch Cousineau"/>
    <n v="3"/>
    <n v="0.26634683182511409"/>
    <n v="749.7336531681749"/>
  </r>
  <r>
    <s v="PBOR00128"/>
    <s v="PIZB0004"/>
    <x v="3"/>
    <x v="3"/>
    <x v="0"/>
    <n v="130"/>
    <s v="Adrien Martin"/>
    <n v="2"/>
    <n v="0.95598379426073032"/>
    <n v="259.0440162057393"/>
  </r>
  <r>
    <s v="PBOR00129"/>
    <s v="PIZB0001"/>
    <x v="36"/>
    <x v="0"/>
    <x v="0"/>
    <n v="72"/>
    <s v="Albain Forestier"/>
    <n v="3"/>
    <n v="0.78465682989488972"/>
    <n v="215.21534317010511"/>
  </r>
  <r>
    <s v="PBOR00130"/>
    <s v="PIZB0002"/>
    <x v="24"/>
    <x v="1"/>
    <x v="0"/>
    <n v="65"/>
    <s v="Roch Cousineau"/>
    <n v="4"/>
    <n v="0.92531650826605816"/>
    <n v="259.07468349173394"/>
  </r>
  <r>
    <s v="PBOR00131"/>
    <s v="PIZB0003"/>
    <x v="21"/>
    <x v="2"/>
    <x v="0"/>
    <n v="250"/>
    <s v="Adrien Martin"/>
    <n v="3"/>
    <n v="0.91314982692991542"/>
    <n v="749.08685017307005"/>
  </r>
  <r>
    <s v="PBOR00132"/>
    <s v="PIZB0004"/>
    <x v="32"/>
    <x v="3"/>
    <x v="0"/>
    <n v="130"/>
    <s v="Albain Forestier"/>
    <n v="2"/>
    <n v="8.4586093307030152E-2"/>
    <n v="259.91541390669295"/>
  </r>
  <r>
    <s v="PBOR00133"/>
    <s v="PIZB0005"/>
    <x v="4"/>
    <x v="4"/>
    <x v="1"/>
    <n v="60"/>
    <s v="Roch Cousineau"/>
    <n v="7"/>
    <n v="0.92983220282837542"/>
    <n v="419.07016779717162"/>
  </r>
  <r>
    <s v="PBOR00134"/>
    <s v="PIZB0006"/>
    <x v="2"/>
    <x v="5"/>
    <x v="0"/>
    <n v="95"/>
    <s v="Adrien Martin"/>
    <n v="6"/>
    <n v="0.13029960752667558"/>
    <n v="569.86970039247331"/>
  </r>
  <r>
    <s v="PBOR00135"/>
    <s v="PIZB0001"/>
    <x v="27"/>
    <x v="0"/>
    <x v="0"/>
    <n v="72"/>
    <s v="Albain Forestier"/>
    <n v="6"/>
    <n v="0.41456728266200249"/>
    <n v="431.58543271733799"/>
  </r>
  <r>
    <s v="PBOR00136"/>
    <s v="PIZB0002"/>
    <x v="0"/>
    <x v="1"/>
    <x v="0"/>
    <n v="65"/>
    <s v="Roch Cousineau"/>
    <n v="8"/>
    <n v="0.77953807822657883"/>
    <n v="519.22046192177345"/>
  </r>
  <r>
    <s v="PBOR00137"/>
    <s v="PIZB0003"/>
    <x v="1"/>
    <x v="2"/>
    <x v="1"/>
    <n v="250"/>
    <s v="Adrien Martin"/>
    <n v="3"/>
    <n v="0.56602493379943331"/>
    <n v="749.43397506620056"/>
  </r>
  <r>
    <s v="PBOR00138"/>
    <s v="PIZB0004"/>
    <x v="28"/>
    <x v="3"/>
    <x v="1"/>
    <n v="130"/>
    <s v="Albain Forestier"/>
    <n v="2"/>
    <n v="0.7922771947085826"/>
    <n v="259.20772280529144"/>
  </r>
  <r>
    <s v="PBOR00139"/>
    <s v="PIZB0001"/>
    <x v="8"/>
    <x v="0"/>
    <x v="1"/>
    <n v="72"/>
    <s v="Roch Cousineau"/>
    <n v="9"/>
    <n v="9.6806596410280221E-2"/>
    <n v="647.90319340358974"/>
  </r>
  <r>
    <s v="PBOR00140"/>
    <s v="PIZB0002"/>
    <x v="33"/>
    <x v="1"/>
    <x v="1"/>
    <n v="65"/>
    <s v="Adrien Martin"/>
    <n v="8"/>
    <n v="0.10738058788365801"/>
    <n v="519.89261941211635"/>
  </r>
  <r>
    <s v="PBOR00141"/>
    <s v="PIZB0003"/>
    <x v="14"/>
    <x v="2"/>
    <x v="1"/>
    <n v="250"/>
    <s v="Albain Forestier"/>
    <n v="1"/>
    <n v="0.68298720032284699"/>
    <n v="249.31701279967714"/>
  </r>
  <r>
    <s v="PBOR00142"/>
    <s v="PIZB0004"/>
    <x v="16"/>
    <x v="3"/>
    <x v="1"/>
    <n v="130"/>
    <s v="Roch Cousineau"/>
    <n v="2"/>
    <n v="8.8476327566971991E-2"/>
    <n v="259.91152367243302"/>
  </r>
  <r>
    <s v="PBOR00143"/>
    <s v="PIZB0001"/>
    <x v="17"/>
    <x v="0"/>
    <x v="0"/>
    <n v="72"/>
    <s v="Roch Cousineau"/>
    <n v="9"/>
    <n v="0.12263076179640997"/>
    <n v="647.87736923820364"/>
  </r>
  <r>
    <s v="PBOR00144"/>
    <s v="PIZB0002"/>
    <x v="17"/>
    <x v="1"/>
    <x v="1"/>
    <n v="65"/>
    <s v="Adrien Martin"/>
    <n v="7"/>
    <n v="0.21348123854438894"/>
    <n v="454.78651876145562"/>
  </r>
  <r>
    <s v="PBOR00145"/>
    <s v="PIZB0003"/>
    <x v="5"/>
    <x v="2"/>
    <x v="0"/>
    <n v="250"/>
    <s v="Albain Forestier"/>
    <n v="3"/>
    <n v="0.51777110877083832"/>
    <n v="749.48222889122917"/>
  </r>
  <r>
    <s v="PBOR00146"/>
    <s v="PIZB0004"/>
    <x v="16"/>
    <x v="3"/>
    <x v="1"/>
    <n v="130"/>
    <s v="Roch Cousineau"/>
    <n v="3"/>
    <n v="0.2471412366587864"/>
    <n v="389.75285876334124"/>
  </r>
  <r>
    <s v="PBOR00147"/>
    <s v="PIZB0001"/>
    <x v="1"/>
    <x v="0"/>
    <x v="0"/>
    <n v="72"/>
    <s v="Adrien Martin"/>
    <n v="4"/>
    <n v="0.74108890181243625"/>
    <n v="287.25891109818758"/>
  </r>
  <r>
    <s v="PBOR00148"/>
    <s v="PIZB0002"/>
    <x v="18"/>
    <x v="1"/>
    <x v="1"/>
    <n v="65"/>
    <s v="Albain Forestier"/>
    <n v="5"/>
    <n v="0.7589550474918334"/>
    <n v="324.24104495250816"/>
  </r>
  <r>
    <s v="PBOR00149"/>
    <s v="PIZB0003"/>
    <x v="3"/>
    <x v="2"/>
    <x v="0"/>
    <n v="250"/>
    <s v="Roch Cousineau"/>
    <n v="4"/>
    <n v="0.39519452416647527"/>
    <n v="999.60480547583347"/>
  </r>
  <r>
    <s v="PBOR00150"/>
    <s v="PIZB0004"/>
    <x v="19"/>
    <x v="3"/>
    <x v="1"/>
    <n v="130"/>
    <s v="Adrien Martin"/>
    <n v="5"/>
    <n v="2.5857814158937731E-2"/>
    <n v="649.97414218584106"/>
  </r>
  <r>
    <s v="PBOR00151"/>
    <s v="PIZB0005"/>
    <x v="20"/>
    <x v="4"/>
    <x v="0"/>
    <n v="60"/>
    <s v="Albain Forestier"/>
    <n v="10"/>
    <n v="0.35224195755599907"/>
    <n v="599.64775804244402"/>
  </r>
  <r>
    <s v="PBOR00152"/>
    <s v="PIZB0001"/>
    <x v="21"/>
    <x v="0"/>
    <x v="1"/>
    <n v="72"/>
    <s v="Roch Cousineau"/>
    <n v="12"/>
    <n v="4.2934737769464881E-2"/>
    <n v="863.95706526223057"/>
  </r>
  <r>
    <s v="PBOR00153"/>
    <s v="PIZB0002"/>
    <x v="22"/>
    <x v="1"/>
    <x v="0"/>
    <n v="65"/>
    <s v="Adrien Martin"/>
    <n v="12"/>
    <n v="6.8824781708392013E-3"/>
    <n v="779.99311752182916"/>
  </r>
  <r>
    <s v="PBOR00154"/>
    <s v="PIZB0003"/>
    <x v="23"/>
    <x v="2"/>
    <x v="1"/>
    <n v="250"/>
    <s v="Albain Forestier"/>
    <n v="1"/>
    <n v="0.8553400747255635"/>
    <n v="249.14465992527442"/>
  </r>
  <r>
    <s v="PBOR00155"/>
    <s v="PIZB0004"/>
    <x v="24"/>
    <x v="3"/>
    <x v="0"/>
    <n v="130"/>
    <s v="Roch Cousineau"/>
    <n v="6"/>
    <n v="0.62107648533214554"/>
    <n v="779.3789235146678"/>
  </r>
  <r>
    <s v="PBOR00156"/>
    <s v="PIZB0001"/>
    <x v="16"/>
    <x v="0"/>
    <x v="1"/>
    <n v="72"/>
    <s v="Adrien Martin"/>
    <n v="3"/>
    <n v="0.93819201157518672"/>
    <n v="215.06180798842482"/>
  </r>
  <r>
    <s v="PBOR00157"/>
    <s v="PIZB0002"/>
    <x v="25"/>
    <x v="1"/>
    <x v="0"/>
    <n v="65"/>
    <s v="Albain Forestier"/>
    <n v="12"/>
    <n v="0.97731506347213748"/>
    <n v="779.02268493652787"/>
  </r>
  <r>
    <s v="PBOR00158"/>
    <s v="PIZB0003"/>
    <x v="6"/>
    <x v="2"/>
    <x v="1"/>
    <n v="250"/>
    <s v="Roch Cousineau"/>
    <n v="3"/>
    <n v="0.93618769203099483"/>
    <n v="749.06381230796899"/>
  </r>
  <r>
    <s v="PBOR00159"/>
    <s v="PIZB0004"/>
    <x v="2"/>
    <x v="3"/>
    <x v="0"/>
    <n v="130"/>
    <s v="Adrien Martin"/>
    <n v="5"/>
    <n v="0.92747059451906588"/>
    <n v="649.07252940548096"/>
  </r>
  <r>
    <s v="PBOR00160"/>
    <s v="PIZB0005"/>
    <x v="26"/>
    <x v="4"/>
    <x v="0"/>
    <n v="60"/>
    <s v="Albain Forestier"/>
    <n v="8"/>
    <n v="9.8331104648150314E-2"/>
    <n v="479.90166889535186"/>
  </r>
  <r>
    <s v="PBOR00161"/>
    <s v="PIZB0006"/>
    <x v="4"/>
    <x v="5"/>
    <x v="1"/>
    <n v="95"/>
    <s v="Roch Cousineau"/>
    <n v="5"/>
    <n v="4.5012478047171678E-3"/>
    <n v="474.99549875219526"/>
  </r>
  <r>
    <s v="PBOR00162"/>
    <s v="PIZB0001"/>
    <x v="27"/>
    <x v="0"/>
    <x v="1"/>
    <n v="72"/>
    <s v="Adrien Martin"/>
    <n v="9"/>
    <n v="0.22169192366246837"/>
    <n v="647.77830807633757"/>
  </r>
  <r>
    <s v="PBOR00163"/>
    <s v="PIZB0002"/>
    <x v="15"/>
    <x v="1"/>
    <x v="1"/>
    <n v="65"/>
    <s v="Albain Forestier"/>
    <n v="6"/>
    <n v="0.91624709117858605"/>
    <n v="389.0837529088214"/>
  </r>
  <r>
    <s v="PBOR00164"/>
    <s v="PIZB0003"/>
    <x v="28"/>
    <x v="2"/>
    <x v="0"/>
    <n v="250"/>
    <s v="Roch Cousineau"/>
    <n v="3"/>
    <n v="0.61362516317019966"/>
    <n v="749.38637483682976"/>
  </r>
  <r>
    <s v="PBOR00165"/>
    <s v="PIZB0004"/>
    <x v="8"/>
    <x v="3"/>
    <x v="0"/>
    <n v="130"/>
    <s v="Adrien Martin"/>
    <n v="4"/>
    <n v="0.81572623665656485"/>
    <n v="519.18427376334341"/>
  </r>
  <r>
    <s v="PBOR00166"/>
    <s v="PIZB0001"/>
    <x v="6"/>
    <x v="0"/>
    <x v="0"/>
    <n v="72"/>
    <s v="Albain Forestier"/>
    <n v="11"/>
    <n v="0.60394772308749511"/>
    <n v="791.39605227691254"/>
  </r>
  <r>
    <s v="PBOR00167"/>
    <s v="PIZB0002"/>
    <x v="27"/>
    <x v="1"/>
    <x v="0"/>
    <n v="65"/>
    <s v="Roch Cousineau"/>
    <n v="7"/>
    <n v="0.2716676542664398"/>
    <n v="454.72833234573358"/>
  </r>
  <r>
    <s v="PBOR00168"/>
    <s v="PIZB0003"/>
    <x v="10"/>
    <x v="2"/>
    <x v="0"/>
    <n v="250"/>
    <s v="Adrien Martin"/>
    <n v="2"/>
    <n v="0.56293228162406539"/>
    <n v="499.43706771837594"/>
  </r>
  <r>
    <s v="PBOR00169"/>
    <s v="PIZB0004"/>
    <x v="29"/>
    <x v="3"/>
    <x v="0"/>
    <n v="130"/>
    <s v="Albain Forestier"/>
    <n v="4"/>
    <n v="0.73579140219525918"/>
    <n v="519.26420859780478"/>
  </r>
  <r>
    <s v="PBOR00170"/>
    <s v="PIZB0005"/>
    <x v="30"/>
    <x v="4"/>
    <x v="0"/>
    <n v="60"/>
    <s v="Roch Cousineau"/>
    <n v="12"/>
    <n v="0.44112931781121201"/>
    <n v="719.55887068218874"/>
  </r>
  <r>
    <s v="PBOR00171"/>
    <s v="PIZB0001"/>
    <x v="31"/>
    <x v="0"/>
    <x v="0"/>
    <n v="72"/>
    <s v="Adrien Martin"/>
    <n v="11"/>
    <n v="0.67026763876764872"/>
    <n v="791.32973236123235"/>
  </r>
  <r>
    <s v="PBOR00172"/>
    <s v="PIZB0002"/>
    <x v="27"/>
    <x v="1"/>
    <x v="0"/>
    <n v="65"/>
    <s v="Albain Forestier"/>
    <n v="9"/>
    <n v="0.21501842814819261"/>
    <n v="584.78498157185186"/>
  </r>
  <r>
    <s v="PBOR00173"/>
    <s v="PIZB0003"/>
    <x v="29"/>
    <x v="2"/>
    <x v="1"/>
    <n v="250"/>
    <s v="Roch Cousineau"/>
    <n v="3"/>
    <n v="0.77528388030776896"/>
    <n v="749.22471611969218"/>
  </r>
  <r>
    <s v="PBOR00174"/>
    <s v="PIZB0004"/>
    <x v="1"/>
    <x v="3"/>
    <x v="0"/>
    <n v="130"/>
    <s v="Adrien Martin"/>
    <n v="3"/>
    <n v="0.32334348690445713"/>
    <n v="389.67665651309557"/>
  </r>
  <r>
    <s v="PBOR00175"/>
    <s v="PIZB0001"/>
    <x v="11"/>
    <x v="0"/>
    <x v="0"/>
    <n v="72"/>
    <s v="Albain Forestier"/>
    <n v="5"/>
    <n v="0.2117276391971491"/>
    <n v="359.78827236080286"/>
  </r>
  <r>
    <s v="PBOR00176"/>
    <s v="PIZB0002"/>
    <x v="5"/>
    <x v="1"/>
    <x v="0"/>
    <n v="65"/>
    <s v="Roch Cousineau"/>
    <n v="10"/>
    <n v="0.99817658128489728"/>
    <n v="649.00182341871505"/>
  </r>
  <r>
    <s v="PBOR00177"/>
    <s v="PIZB0003"/>
    <x v="2"/>
    <x v="2"/>
    <x v="0"/>
    <n v="250"/>
    <s v="Adrien Martin"/>
    <n v="3"/>
    <n v="0.34321661485625221"/>
    <n v="749.65678338514374"/>
  </r>
  <r>
    <s v="PBOR00178"/>
    <s v="PIZB0004"/>
    <x v="31"/>
    <x v="3"/>
    <x v="0"/>
    <n v="130"/>
    <s v="Albain Forestier"/>
    <n v="6"/>
    <n v="0.17688363553653064"/>
    <n v="779.82311636446343"/>
  </r>
  <r>
    <s v="PBOR00179"/>
    <s v="PIZB0005"/>
    <x v="3"/>
    <x v="4"/>
    <x v="1"/>
    <n v="60"/>
    <s v="Roch Cousineau"/>
    <n v="12"/>
    <n v="0.54853763527560739"/>
    <n v="719.45146236472442"/>
  </r>
  <r>
    <s v="PBOR00180"/>
    <s v="PIZB0006"/>
    <x v="25"/>
    <x v="5"/>
    <x v="0"/>
    <n v="95"/>
    <s v="Adrien Martin"/>
    <n v="7"/>
    <n v="0.40612729229894939"/>
    <n v="664.59387270770105"/>
  </r>
  <r>
    <s v="PBOR00181"/>
    <s v="PIZB0001"/>
    <x v="7"/>
    <x v="0"/>
    <x v="0"/>
    <n v="72"/>
    <s v="Albain Forestier"/>
    <n v="6"/>
    <n v="0.16780300089638589"/>
    <n v="431.83219699910359"/>
  </r>
  <r>
    <s v="PBOR00182"/>
    <s v="PIZB0002"/>
    <x v="25"/>
    <x v="1"/>
    <x v="0"/>
    <n v="65"/>
    <s v="Roch Cousineau"/>
    <n v="10"/>
    <n v="0.91086777790941564"/>
    <n v="649.0891322220906"/>
  </r>
  <r>
    <s v="PBOR00183"/>
    <s v="PIZB0003"/>
    <x v="32"/>
    <x v="2"/>
    <x v="1"/>
    <n v="250"/>
    <s v="Adrien Martin"/>
    <n v="3"/>
    <n v="0.2731985494536886"/>
    <n v="749.7268014505463"/>
  </r>
  <r>
    <s v="PBOR00184"/>
    <s v="PIZB0004"/>
    <x v="33"/>
    <x v="3"/>
    <x v="1"/>
    <n v="130"/>
    <s v="Albain Forestier"/>
    <n v="4"/>
    <n v="0.81984662786178419"/>
    <n v="519.18015337213819"/>
  </r>
  <r>
    <s v="PBOR00185"/>
    <s v="PIZB0001"/>
    <x v="33"/>
    <x v="0"/>
    <x v="1"/>
    <n v="72"/>
    <s v="Roch Cousineau"/>
    <n v="7"/>
    <n v="0.89980934003543744"/>
    <n v="503.10019065996454"/>
  </r>
  <r>
    <s v="PBOR00186"/>
    <s v="PIZB0002"/>
    <x v="22"/>
    <x v="1"/>
    <x v="1"/>
    <n v="65"/>
    <s v="Adrien Martin"/>
    <n v="5"/>
    <n v="0.73522347452625669"/>
    <n v="324.26477652547374"/>
  </r>
  <r>
    <s v="PBOR00187"/>
    <s v="PIZB0003"/>
    <x v="34"/>
    <x v="2"/>
    <x v="1"/>
    <n v="250"/>
    <s v="Albain Forestier"/>
    <n v="3"/>
    <n v="0.36579213338930128"/>
    <n v="749.63420786661072"/>
  </r>
  <r>
    <s v="PBOR00188"/>
    <s v="PIZB0004"/>
    <x v="7"/>
    <x v="3"/>
    <x v="1"/>
    <n v="130"/>
    <s v="Roch Cousineau"/>
    <n v="2"/>
    <n v="0.79313642440033238"/>
    <n v="259.20686357559964"/>
  </r>
  <r>
    <s v="PBOR00189"/>
    <s v="PIZB0001"/>
    <x v="3"/>
    <x v="0"/>
    <x v="0"/>
    <n v="72"/>
    <s v="Roch Cousineau"/>
    <n v="4"/>
    <n v="8.0407664979564641E-2"/>
    <n v="287.91959233502041"/>
  </r>
  <r>
    <s v="PBOR00190"/>
    <s v="PIZB0002"/>
    <x v="31"/>
    <x v="1"/>
    <x v="1"/>
    <n v="65"/>
    <s v="Adrien Martin"/>
    <n v="12"/>
    <n v="0.38525936096781821"/>
    <n v="779.61474063903222"/>
  </r>
  <r>
    <s v="PBOR00191"/>
    <s v="PIZB0003"/>
    <x v="4"/>
    <x v="2"/>
    <x v="0"/>
    <n v="250"/>
    <s v="Albain Forestier"/>
    <n v="1"/>
    <n v="0.45507177071325888"/>
    <n v="249.54492822928674"/>
  </r>
  <r>
    <s v="PBOR00192"/>
    <s v="PIZB0004"/>
    <x v="34"/>
    <x v="3"/>
    <x v="1"/>
    <n v="130"/>
    <s v="Roch Cousineau"/>
    <n v="4"/>
    <n v="0.93827031337312128"/>
    <n v="519.0617296866269"/>
  </r>
  <r>
    <s v="PBOR00193"/>
    <s v="PIZB0001"/>
    <x v="13"/>
    <x v="0"/>
    <x v="0"/>
    <n v="72"/>
    <s v="Adrien Martin"/>
    <n v="7"/>
    <n v="0.14716035331195043"/>
    <n v="503.85283964668804"/>
  </r>
  <r>
    <s v="PBOR00194"/>
    <s v="PIZB0002"/>
    <x v="35"/>
    <x v="1"/>
    <x v="1"/>
    <n v="65"/>
    <s v="Albain Forestier"/>
    <n v="12"/>
    <n v="0.10159867043013626"/>
    <n v="779.89840132956988"/>
  </r>
  <r>
    <s v="PBOR00195"/>
    <s v="PIZB0003"/>
    <x v="2"/>
    <x v="2"/>
    <x v="0"/>
    <n v="250"/>
    <s v="Roch Cousineau"/>
    <n v="2"/>
    <n v="0.50060788399709522"/>
    <n v="499.49939211600292"/>
  </r>
  <r>
    <s v="PBOR00196"/>
    <s v="PIZB0004"/>
    <x v="13"/>
    <x v="3"/>
    <x v="1"/>
    <n v="130"/>
    <s v="Adrien Martin"/>
    <n v="6"/>
    <n v="0.70539643021834586"/>
    <n v="779.29460356978166"/>
  </r>
  <r>
    <s v="PBOR00197"/>
    <s v="PIZB0005"/>
    <x v="18"/>
    <x v="4"/>
    <x v="0"/>
    <n v="60"/>
    <s v="Albain Forestier"/>
    <n v="12"/>
    <n v="0.72481379032239401"/>
    <n v="719.2751862096776"/>
  </r>
  <r>
    <s v="PBOR00198"/>
    <s v="PIZB0001"/>
    <x v="23"/>
    <x v="0"/>
    <x v="1"/>
    <n v="72"/>
    <s v="Roch Cousineau"/>
    <n v="6"/>
    <n v="0.21833121955544521"/>
    <n v="431.78166878044453"/>
  </r>
  <r>
    <s v="PBOR00199"/>
    <s v="PIZB0002"/>
    <x v="36"/>
    <x v="1"/>
    <x v="0"/>
    <n v="65"/>
    <s v="Adrien Martin"/>
    <n v="8"/>
    <n v="0.33253524453952932"/>
    <n v="519.66746475546051"/>
  </r>
  <r>
    <s v="PBOR00200"/>
    <s v="PIZB0003"/>
    <x v="37"/>
    <x v="2"/>
    <x v="1"/>
    <n v="250"/>
    <s v="Albain Forestier"/>
    <n v="2"/>
    <n v="0.39793552100289009"/>
    <n v="499.60206447899714"/>
  </r>
  <r>
    <s v="PBOR00201"/>
    <s v="PIZB0004"/>
    <x v="4"/>
    <x v="3"/>
    <x v="0"/>
    <n v="130"/>
    <s v="Roch Cousineau"/>
    <n v="4"/>
    <n v="0.83519533088641318"/>
    <n v="519.16480466911355"/>
  </r>
  <r>
    <s v="PBOR00202"/>
    <s v="PIZB0001"/>
    <x v="3"/>
    <x v="0"/>
    <x v="1"/>
    <n v="72"/>
    <s v="Adrien Martin"/>
    <n v="10"/>
    <n v="8.7312208799101843E-3"/>
    <n v="719.99126877912011"/>
  </r>
  <r>
    <s v="PBOR00203"/>
    <s v="PIZB0002"/>
    <x v="35"/>
    <x v="1"/>
    <x v="0"/>
    <n v="65"/>
    <s v="Albain Forestier"/>
    <n v="12"/>
    <n v="0.95071636556912675"/>
    <n v="779.04928363443082"/>
  </r>
  <r>
    <s v="PBOR00204"/>
    <s v="PIZB0003"/>
    <x v="11"/>
    <x v="2"/>
    <x v="1"/>
    <n v="250"/>
    <s v="Roch Cousineau"/>
    <n v="4"/>
    <n v="6.5110770871939172E-2"/>
    <n v="999.93488922912809"/>
  </r>
  <r>
    <s v="PBOR00205"/>
    <s v="PIZB0004"/>
    <x v="10"/>
    <x v="3"/>
    <x v="0"/>
    <n v="130"/>
    <s v="Adrien Martin"/>
    <n v="6"/>
    <n v="0.43772024513265795"/>
    <n v="779.56227975486729"/>
  </r>
  <r>
    <s v="PBOR00206"/>
    <s v="PIZB0005"/>
    <x v="1"/>
    <x v="4"/>
    <x v="0"/>
    <n v="60"/>
    <s v="Albain Forestier"/>
    <n v="7"/>
    <n v="0.41853663840169475"/>
    <n v="419.58146336159831"/>
  </r>
  <r>
    <s v="PBOR00207"/>
    <s v="PIZB0006"/>
    <x v="17"/>
    <x v="5"/>
    <x v="1"/>
    <n v="95"/>
    <s v="Roch Cousineau"/>
    <n v="7"/>
    <n v="0.38824165845812764"/>
    <n v="664.61175834154187"/>
  </r>
  <r>
    <s v="PBOR00208"/>
    <s v="PIZB0001"/>
    <x v="17"/>
    <x v="0"/>
    <x v="1"/>
    <n v="72"/>
    <s v="Adrien Martin"/>
    <n v="3"/>
    <n v="0.75434060698733896"/>
    <n v="215.24565939301266"/>
  </r>
  <r>
    <s v="PBOR00209"/>
    <s v="PIZB0002"/>
    <x v="37"/>
    <x v="1"/>
    <x v="1"/>
    <n v="65"/>
    <s v="Albain Forestier"/>
    <n v="12"/>
    <n v="0.61587381700020483"/>
    <n v="779.38412618299981"/>
  </r>
  <r>
    <s v="PBOR00210"/>
    <s v="PIZB0003"/>
    <x v="4"/>
    <x v="2"/>
    <x v="0"/>
    <n v="250"/>
    <s v="Roch Cousineau"/>
    <n v="2"/>
    <n v="0.80006888756762451"/>
    <n v="499.19993111243235"/>
  </r>
  <r>
    <s v="PBOR00211"/>
    <s v="PIZB0004"/>
    <x v="2"/>
    <x v="3"/>
    <x v="0"/>
    <n v="130"/>
    <s v="Adrien Martin"/>
    <n v="5"/>
    <n v="0.68228949683615203"/>
    <n v="649.31771050316388"/>
  </r>
  <r>
    <s v="PBOR00212"/>
    <s v="PIZB0001"/>
    <x v="12"/>
    <x v="0"/>
    <x v="0"/>
    <n v="72"/>
    <s v="Albain Forestier"/>
    <n v="10"/>
    <n v="1.6479509006877335E-2"/>
    <n v="719.9835204909931"/>
  </r>
  <r>
    <s v="PBOR00213"/>
    <s v="PIZB0002"/>
    <x v="0"/>
    <x v="1"/>
    <x v="0"/>
    <n v="65"/>
    <s v="Roch Cousineau"/>
    <n v="10"/>
    <n v="0.23078123893127422"/>
    <n v="649.76921876106871"/>
  </r>
  <r>
    <s v="PBOR00214"/>
    <s v="PIZB0003"/>
    <x v="38"/>
    <x v="2"/>
    <x v="0"/>
    <n v="250"/>
    <s v="Adrien Martin"/>
    <n v="3"/>
    <n v="2.2225272121484729E-2"/>
    <n v="749.97777472787857"/>
  </r>
  <r>
    <s v="PBOR00215"/>
    <s v="PIZB0004"/>
    <x v="1"/>
    <x v="3"/>
    <x v="0"/>
    <n v="130"/>
    <s v="Albain Forestier"/>
    <n v="3"/>
    <n v="0.72206439626516772"/>
    <n v="389.27793560373482"/>
  </r>
  <r>
    <s v="PBOR00216"/>
    <s v="PIZB0005"/>
    <x v="2"/>
    <x v="4"/>
    <x v="0"/>
    <n v="60"/>
    <s v="Roch Cousineau"/>
    <n v="7"/>
    <n v="0.66067744665264683"/>
    <n v="419.33932255334736"/>
  </r>
  <r>
    <s v="PBOR00217"/>
    <s v="PIZB0001"/>
    <x v="5"/>
    <x v="0"/>
    <x v="0"/>
    <n v="72"/>
    <s v="Adrien Martin"/>
    <n v="6"/>
    <n v="0.14048396352986114"/>
    <n v="431.85951603647015"/>
  </r>
  <r>
    <s v="PBOR00218"/>
    <s v="PIZB0002"/>
    <x v="3"/>
    <x v="1"/>
    <x v="0"/>
    <n v="65"/>
    <s v="Albain Forestier"/>
    <n v="8"/>
    <n v="0.37872981249566817"/>
    <n v="519.62127018750436"/>
  </r>
  <r>
    <s v="PBOR00219"/>
    <s v="PIZB0003"/>
    <x v="36"/>
    <x v="2"/>
    <x v="1"/>
    <n v="250"/>
    <s v="Roch Cousineau"/>
    <n v="2"/>
    <n v="0.71515589694127546"/>
    <n v="499.28484410305873"/>
  </r>
  <r>
    <s v="PBOR00220"/>
    <s v="PIZB0004"/>
    <x v="24"/>
    <x v="3"/>
    <x v="0"/>
    <n v="130"/>
    <s v="Adrien Martin"/>
    <n v="6"/>
    <n v="0.21412519358799298"/>
    <n v="779.78587480641204"/>
  </r>
  <r>
    <s v="PBOR00221"/>
    <s v="PIZB0001"/>
    <x v="21"/>
    <x v="0"/>
    <x v="0"/>
    <n v="72"/>
    <s v="Albain Forestier"/>
    <n v="6"/>
    <n v="0.16455091596073168"/>
    <n v="431.83544908403928"/>
  </r>
  <r>
    <s v="PBOR00222"/>
    <s v="PIZB0002"/>
    <x v="32"/>
    <x v="1"/>
    <x v="0"/>
    <n v="65"/>
    <s v="Roch Cousineau"/>
    <n v="4"/>
    <n v="0.25666907491668522"/>
    <n v="259.74333092508334"/>
  </r>
  <r>
    <s v="PBOR00223"/>
    <s v="PIZB0003"/>
    <x v="4"/>
    <x v="2"/>
    <x v="0"/>
    <n v="250"/>
    <s v="Adrien Martin"/>
    <n v="3"/>
    <n v="0.90160231788426648"/>
    <n v="749.09839768211577"/>
  </r>
  <r>
    <s v="PBOR00224"/>
    <s v="PIZB0004"/>
    <x v="2"/>
    <x v="3"/>
    <x v="0"/>
    <n v="130"/>
    <s v="Albain Forestier"/>
    <n v="2"/>
    <n v="0.320164833885899"/>
    <n v="259.67983516611412"/>
  </r>
  <r>
    <s v="PBOR00225"/>
    <s v="PIZB0005"/>
    <x v="27"/>
    <x v="4"/>
    <x v="1"/>
    <n v="60"/>
    <s v="Roch Cousineau"/>
    <n v="9"/>
    <n v="0.13498450487731639"/>
    <n v="539.86501549512263"/>
  </r>
  <r>
    <s v="PBOR00226"/>
    <s v="PIZB0006"/>
    <x v="0"/>
    <x v="5"/>
    <x v="0"/>
    <n v="95"/>
    <s v="Adrien Martin"/>
    <n v="5"/>
    <n v="0.91789593738279973"/>
    <n v="474.08210406261719"/>
  </r>
  <r>
    <s v="PBOR00227"/>
    <s v="PIZB0001"/>
    <x v="1"/>
    <x v="0"/>
    <x v="0"/>
    <n v="72"/>
    <s v="Albain Forestier"/>
    <n v="3"/>
    <n v="0.98021726342122206"/>
    <n v="215.01978273657878"/>
  </r>
  <r>
    <s v="PBOR00228"/>
    <s v="PIZB0002"/>
    <x v="28"/>
    <x v="1"/>
    <x v="0"/>
    <n v="65"/>
    <s v="Roch Cousineau"/>
    <n v="7"/>
    <n v="6.7354248366482961E-2"/>
    <n v="454.93264575163352"/>
  </r>
  <r>
    <s v="PBOR00229"/>
    <s v="PIZB0003"/>
    <x v="8"/>
    <x v="2"/>
    <x v="1"/>
    <n v="250"/>
    <s v="Adrien Martin"/>
    <n v="2"/>
    <n v="0.49907272133883429"/>
    <n v="499.50092727866115"/>
  </r>
  <r>
    <s v="PBOR00230"/>
    <s v="PIZB0004"/>
    <x v="33"/>
    <x v="3"/>
    <x v="1"/>
    <n v="130"/>
    <s v="Albain Forestier"/>
    <n v="5"/>
    <n v="0.61466468459589796"/>
    <n v="649.38533531540406"/>
  </r>
  <r>
    <s v="PBOR00231"/>
    <s v="PIZB0001"/>
    <x v="14"/>
    <x v="0"/>
    <x v="1"/>
    <n v="72"/>
    <s v="Roch Cousineau"/>
    <n v="7"/>
    <n v="0.94639798804768638"/>
    <n v="503.05360201195231"/>
  </r>
  <r>
    <s v="PBOR00232"/>
    <s v="PIZB0002"/>
    <x v="16"/>
    <x v="1"/>
    <x v="1"/>
    <n v="65"/>
    <s v="Adrien Martin"/>
    <n v="10"/>
    <n v="0.95168663838417633"/>
    <n v="649.04831336161578"/>
  </r>
  <r>
    <s v="PBOR00233"/>
    <s v="PIZB0003"/>
    <x v="17"/>
    <x v="2"/>
    <x v="1"/>
    <n v="250"/>
    <s v="Albain Forestier"/>
    <n v="2"/>
    <n v="0.55958868077394219"/>
    <n v="499.44041131922603"/>
  </r>
  <r>
    <s v="PBOR00234"/>
    <s v="PIZB0004"/>
    <x v="17"/>
    <x v="3"/>
    <x v="1"/>
    <n v="130"/>
    <s v="Roch Cousineau"/>
    <n v="2"/>
    <n v="0.81003936677165544"/>
    <n v="259.18996063322834"/>
  </r>
  <r>
    <s v="PBOR00235"/>
    <s v="PIZB0001"/>
    <x v="5"/>
    <x v="0"/>
    <x v="1"/>
    <n v="72"/>
    <s v="Roch Cousineau"/>
    <n v="12"/>
    <n v="0.35450072343254235"/>
    <n v="863.64549927656742"/>
  </r>
  <r>
    <s v="PBOR00236"/>
    <s v="PIZB0002"/>
    <x v="16"/>
    <x v="1"/>
    <x v="0"/>
    <n v="65"/>
    <s v="Adrien Martin"/>
    <n v="11"/>
    <n v="0.34895469608332785"/>
    <n v="714.6510453039167"/>
  </r>
  <r>
    <s v="PBOR00237"/>
    <s v="PIZB0003"/>
    <x v="1"/>
    <x v="2"/>
    <x v="0"/>
    <n v="250"/>
    <s v="Albain Forestier"/>
    <n v="2"/>
    <n v="0.52279578451533193"/>
    <n v="499.47720421548468"/>
  </r>
  <r>
    <s v="PBOR00238"/>
    <s v="PIZB0004"/>
    <x v="18"/>
    <x v="3"/>
    <x v="0"/>
    <n v="130"/>
    <s v="Roch Cousineau"/>
    <n v="3"/>
    <n v="0.69617887937852907"/>
    <n v="389.30382112062148"/>
  </r>
  <r>
    <s v="PBOR00239"/>
    <s v="PIZB0001"/>
    <x v="3"/>
    <x v="0"/>
    <x v="1"/>
    <n v="72"/>
    <s v="Adrien Martin"/>
    <n v="6"/>
    <n v="0.55638354082081654"/>
    <n v="431.44361645917917"/>
  </r>
  <r>
    <s v="PBOR00240"/>
    <s v="PIZB0002"/>
    <x v="19"/>
    <x v="1"/>
    <x v="1"/>
    <n v="65"/>
    <s v="Albain Forestier"/>
    <n v="8"/>
    <n v="7.8132692098414003E-2"/>
    <n v="519.92186730790161"/>
  </r>
  <r>
    <s v="PBOR00241"/>
    <s v="PIZB0003"/>
    <x v="20"/>
    <x v="2"/>
    <x v="1"/>
    <n v="250"/>
    <s v="Roch Cousineau"/>
    <n v="1"/>
    <n v="0.37783112687678633"/>
    <n v="249.6221688731232"/>
  </r>
  <r>
    <s v="PBOR00242"/>
    <s v="PIZB0004"/>
    <x v="21"/>
    <x v="3"/>
    <x v="1"/>
    <n v="130"/>
    <s v="Adrien Martin"/>
    <n v="7"/>
    <n v="0.34200944354303275"/>
    <n v="909.65799055645698"/>
  </r>
  <r>
    <s v="PBOR00243"/>
    <s v="PIZB0005"/>
    <x v="22"/>
    <x v="4"/>
    <x v="1"/>
    <n v="60"/>
    <s v="Albain Forestier"/>
    <n v="11"/>
    <n v="0.92737976442865855"/>
    <n v="659.07262023557132"/>
  </r>
  <r>
    <s v="PBOR00244"/>
    <s v="PIZB0001"/>
    <x v="23"/>
    <x v="0"/>
    <x v="1"/>
    <n v="72"/>
    <s v="Roch Cousineau"/>
    <n v="6"/>
    <n v="0.96938667185148797"/>
    <n v="431.03061332814849"/>
  </r>
  <r>
    <s v="PBOR00245"/>
    <s v="PIZB0002"/>
    <x v="24"/>
    <x v="1"/>
    <x v="1"/>
    <n v="65"/>
    <s v="Adrien Martin"/>
    <n v="6"/>
    <n v="0.24406307827004359"/>
    <n v="389.75593692172998"/>
  </r>
  <r>
    <s v="PBOR00246"/>
    <s v="PIZB0003"/>
    <x v="16"/>
    <x v="2"/>
    <x v="0"/>
    <n v="250"/>
    <s v="Albain Forestier"/>
    <n v="2"/>
    <n v="0.931057824254786"/>
    <n v="499.06894217574524"/>
  </r>
  <r>
    <s v="PBOR00247"/>
    <s v="PIZB0004"/>
    <x v="25"/>
    <x v="3"/>
    <x v="0"/>
    <n v="130"/>
    <s v="Roch Cousineau"/>
    <n v="4"/>
    <n v="0.67570229189541975"/>
    <n v="519.32429770810461"/>
  </r>
  <r>
    <s v="PBOR00248"/>
    <s v="PIZB0001"/>
    <x v="6"/>
    <x v="0"/>
    <x v="0"/>
    <n v="72"/>
    <s v="Adrien Martin"/>
    <n v="7"/>
    <n v="0.91192982577548221"/>
    <n v="503.08807017422453"/>
  </r>
  <r>
    <s v="PBOR00249"/>
    <s v="PIZB0002"/>
    <x v="2"/>
    <x v="1"/>
    <x v="1"/>
    <n v="65"/>
    <s v="Albain Forestier"/>
    <n v="13"/>
    <n v="0.46313611506175134"/>
    <n v="844.53686388493827"/>
  </r>
  <r>
    <s v="PBOR00250"/>
    <s v="PIZB0003"/>
    <x v="26"/>
    <x v="2"/>
    <x v="1"/>
    <n v="250"/>
    <s v="Roch Cousineau"/>
    <n v="1"/>
    <n v="5.3530222562513607E-2"/>
    <n v="249.9464697774375"/>
  </r>
  <r>
    <s v="PBOR00251"/>
    <s v="PIZB0004"/>
    <x v="4"/>
    <x v="3"/>
    <x v="1"/>
    <n v="130"/>
    <s v="Adrien Martin"/>
    <n v="2"/>
    <n v="0.10135414856508229"/>
    <n v="259.89864585143494"/>
  </r>
  <r>
    <s v="PBOR00252"/>
    <s v="PIZB0005"/>
    <x v="27"/>
    <x v="4"/>
    <x v="1"/>
    <n v="60"/>
    <s v="Albain Forestier"/>
    <n v="10"/>
    <n v="0.15413196820236597"/>
    <n v="599.84586803179764"/>
  </r>
  <r>
    <s v="PBOR00253"/>
    <s v="PIZB0006"/>
    <x v="15"/>
    <x v="5"/>
    <x v="1"/>
    <n v="95"/>
    <s v="Roch Cousineau"/>
    <n v="4"/>
    <n v="0.99147229272651061"/>
    <n v="379.00852770727352"/>
  </r>
  <r>
    <s v="PBOR00254"/>
    <s v="PIZB0001"/>
    <x v="28"/>
    <x v="0"/>
    <x v="1"/>
    <n v="72"/>
    <s v="Adrien Martin"/>
    <n v="4"/>
    <n v="0.26792541838229555"/>
    <n v="287.73207458161772"/>
  </r>
  <r>
    <s v="PBOR00255"/>
    <s v="PIZB0002"/>
    <x v="8"/>
    <x v="1"/>
    <x v="1"/>
    <n v="65"/>
    <s v="Albain Forestier"/>
    <n v="7"/>
    <n v="0.67400237007588726"/>
    <n v="454.32599762992413"/>
  </r>
  <r>
    <s v="PBOR00256"/>
    <s v="PIZB0003"/>
    <x v="6"/>
    <x v="2"/>
    <x v="0"/>
    <n v="250"/>
    <s v="Roch Cousineau"/>
    <n v="2"/>
    <n v="0.10779012567415547"/>
    <n v="499.89220987432583"/>
  </r>
  <r>
    <s v="PBOR00257"/>
    <s v="PIZB0004"/>
    <x v="27"/>
    <x v="3"/>
    <x v="0"/>
    <n v="130"/>
    <s v="Adrien Martin"/>
    <n v="4"/>
    <n v="6.5825812137458972E-2"/>
    <n v="519.9341741878626"/>
  </r>
  <r>
    <s v="PBOR00258"/>
    <s v="PIZB0001"/>
    <x v="10"/>
    <x v="0"/>
    <x v="0"/>
    <n v="72"/>
    <s v="Albain Forestier"/>
    <n v="11"/>
    <n v="0.36167362480508147"/>
    <n v="791.63832637519488"/>
  </r>
  <r>
    <s v="PBOR00259"/>
    <s v="PIZB0002"/>
    <x v="29"/>
    <x v="1"/>
    <x v="1"/>
    <n v="65"/>
    <s v="Roch Cousineau"/>
    <n v="9"/>
    <n v="0.15611277710708626"/>
    <n v="584.84388722289293"/>
  </r>
  <r>
    <s v="PBOR00260"/>
    <s v="PIZB0003"/>
    <x v="30"/>
    <x v="2"/>
    <x v="1"/>
    <n v="250"/>
    <s v="Adrien Martin"/>
    <n v="2"/>
    <n v="0.11892962947938523"/>
    <n v="499.8810703705206"/>
  </r>
  <r>
    <s v="PBOR00261"/>
    <s v="PIZB0004"/>
    <x v="31"/>
    <x v="3"/>
    <x v="1"/>
    <n v="130"/>
    <s v="Albain Forestier"/>
    <n v="5"/>
    <n v="0.94178498482348294"/>
    <n v="649.05821501517653"/>
  </r>
  <r>
    <s v="PBOR00262"/>
    <s v="PIZB0005"/>
    <x v="27"/>
    <x v="4"/>
    <x v="1"/>
    <n v="60"/>
    <s v="Roch Cousineau"/>
    <n v="5"/>
    <n v="0.82224390590219021"/>
    <n v="299.17775609409779"/>
  </r>
  <r>
    <s v="PBOR00263"/>
    <s v="PIZB0001"/>
    <x v="29"/>
    <x v="0"/>
    <x v="1"/>
    <n v="72"/>
    <s v="Adrien Martin"/>
    <n v="10"/>
    <n v="1.5473035826796155E-2"/>
    <n v="719.98452696417326"/>
  </r>
  <r>
    <s v="PBOR00264"/>
    <s v="PIZB0002"/>
    <x v="1"/>
    <x v="1"/>
    <x v="1"/>
    <n v="65"/>
    <s v="Albain Forestier"/>
    <n v="3"/>
    <n v="0.57002189482885535"/>
    <n v="194.42997810517113"/>
  </r>
  <r>
    <s v="PBOR00265"/>
    <s v="PIZB0003"/>
    <x v="11"/>
    <x v="2"/>
    <x v="0"/>
    <n v="250"/>
    <s v="Roch Cousineau"/>
    <n v="3"/>
    <n v="0.22169123462523532"/>
    <n v="749.77830876537473"/>
  </r>
  <r>
    <s v="PBOR00266"/>
    <s v="PIZB0004"/>
    <x v="5"/>
    <x v="3"/>
    <x v="1"/>
    <n v="130"/>
    <s v="Adrien Martin"/>
    <n v="6"/>
    <n v="0.16327712663351335"/>
    <n v="779.83672287336651"/>
  </r>
  <r>
    <s v="PBOR00267"/>
    <s v="PIZB0001"/>
    <x v="2"/>
    <x v="0"/>
    <x v="0"/>
    <n v="72"/>
    <s v="Albain Forestier"/>
    <n v="9"/>
    <n v="0.71431849239690393"/>
    <n v="647.28568150760304"/>
  </r>
  <r>
    <s v="PBOR00268"/>
    <s v="PIZB0002"/>
    <x v="31"/>
    <x v="1"/>
    <x v="1"/>
    <n v="65"/>
    <s v="Roch Cousineau"/>
    <n v="7"/>
    <n v="0.58151491016386692"/>
    <n v="454.41848508983611"/>
  </r>
  <r>
    <s v="PBOR00269"/>
    <s v="PIZB0003"/>
    <x v="3"/>
    <x v="2"/>
    <x v="0"/>
    <n v="250"/>
    <s v="Adrien Martin"/>
    <n v="1"/>
    <n v="0.94025500085845537"/>
    <n v="249.05974499914154"/>
  </r>
  <r>
    <s v="PBOR00270"/>
    <s v="PIZB0004"/>
    <x v="25"/>
    <x v="3"/>
    <x v="1"/>
    <n v="130"/>
    <s v="Albain Forestier"/>
    <n v="3"/>
    <n v="0.85696007733376245"/>
    <n v="389.14303992266622"/>
  </r>
  <r>
    <s v="PBOR00271"/>
    <s v="PIZB0005"/>
    <x v="7"/>
    <x v="4"/>
    <x v="0"/>
    <n v="60"/>
    <s v="Roch Cousineau"/>
    <n v="6"/>
    <n v="0.73704670632037661"/>
    <n v="359.26295329367963"/>
  </r>
  <r>
    <s v="PBOR00272"/>
    <s v="PIZB0006"/>
    <x v="25"/>
    <x v="5"/>
    <x v="1"/>
    <n v="95"/>
    <s v="Adrien Martin"/>
    <n v="5"/>
    <n v="0.99556674564351355"/>
    <n v="474.00443325435651"/>
  </r>
  <r>
    <s v="PBOR00273"/>
    <s v="PIZB0001"/>
    <x v="32"/>
    <x v="0"/>
    <x v="0"/>
    <n v="72"/>
    <s v="Albain Forestier"/>
    <n v="8"/>
    <n v="0.82336237784945987"/>
    <n v="575.17663762215057"/>
  </r>
  <r>
    <s v="PBOR00274"/>
    <s v="PIZB0002"/>
    <x v="33"/>
    <x v="1"/>
    <x v="1"/>
    <n v="65"/>
    <s v="Roch Cousineau"/>
    <n v="13"/>
    <n v="0.21429857063805535"/>
    <n v="844.78570142936189"/>
  </r>
  <r>
    <s v="PBOR00275"/>
    <s v="PIZB0003"/>
    <x v="33"/>
    <x v="2"/>
    <x v="0"/>
    <n v="250"/>
    <s v="Adrien Martin"/>
    <n v="2"/>
    <n v="0.9858246368711242"/>
    <n v="499.01417536312886"/>
  </r>
  <r>
    <s v="PBOR00276"/>
    <s v="PIZB0004"/>
    <x v="22"/>
    <x v="3"/>
    <x v="1"/>
    <n v="130"/>
    <s v="Albain Forestier"/>
    <n v="6"/>
    <n v="2.0787857004193944E-2"/>
    <n v="779.97921214299583"/>
  </r>
  <r>
    <s v="PBOR00277"/>
    <s v="PIZB0001"/>
    <x v="34"/>
    <x v="0"/>
    <x v="0"/>
    <n v="72"/>
    <s v="Roch Cousineau"/>
    <n v="8"/>
    <n v="0.4043041551106823"/>
    <n v="575.59569584488929"/>
  </r>
  <r>
    <s v="PBOR00278"/>
    <s v="PIZB0002"/>
    <x v="7"/>
    <x v="1"/>
    <x v="1"/>
    <n v="65"/>
    <s v="Adrien Martin"/>
    <n v="6"/>
    <n v="0.86228936216370378"/>
    <n v="389.13771063783628"/>
  </r>
  <r>
    <s v="PBOR00279"/>
    <s v="PIZB0003"/>
    <x v="3"/>
    <x v="2"/>
    <x v="0"/>
    <n v="250"/>
    <s v="Albain Forestier"/>
    <n v="3"/>
    <n v="0.20267200262393703"/>
    <n v="749.7973279973761"/>
  </r>
  <r>
    <s v="PBOR00280"/>
    <s v="PIZB0004"/>
    <x v="31"/>
    <x v="0"/>
    <x v="1"/>
    <n v="72"/>
    <s v="Roch Cousineau"/>
    <n v="6"/>
    <n v="0.42721330596562979"/>
    <n v="431.57278669403439"/>
  </r>
  <r>
    <s v="PBOR00281"/>
    <s v="PIZB0001"/>
    <x v="4"/>
    <x v="1"/>
    <x v="0"/>
    <n v="65"/>
    <s v="Roch Cousineau"/>
    <n v="13"/>
    <n v="0.87108149970897442"/>
    <n v="844.12891850029098"/>
  </r>
  <r>
    <s v="PBOR00282"/>
    <s v="PIZB0002"/>
    <x v="34"/>
    <x v="2"/>
    <x v="1"/>
    <n v="250"/>
    <s v="Adrien Martin"/>
    <n v="1"/>
    <n v="2.6358009716956676E-2"/>
    <n v="249.97364199028306"/>
  </r>
  <r>
    <s v="PBOR00283"/>
    <s v="PIZB0003"/>
    <x v="13"/>
    <x v="3"/>
    <x v="1"/>
    <n v="130"/>
    <s v="Albain Forestier"/>
    <n v="3"/>
    <n v="0.77767785740350603"/>
    <n v="389.22232214259651"/>
  </r>
  <r>
    <s v="PBOR00284"/>
    <s v="PIZB0004"/>
    <x v="35"/>
    <x v="0"/>
    <x v="1"/>
    <n v="72"/>
    <s v="Roch Cousineau"/>
    <n v="3"/>
    <n v="0.68682565144107521"/>
    <n v="215.31317434855893"/>
  </r>
  <r>
    <s v="PBOR00285"/>
    <s v="PIZB0001"/>
    <x v="2"/>
    <x v="1"/>
    <x v="1"/>
    <n v="65"/>
    <s v="Adrien Martin"/>
    <n v="14"/>
    <n v="0.58269109940879071"/>
    <n v="909.41730890059125"/>
  </r>
  <r>
    <s v="PBOR00286"/>
    <s v="PIZB0002"/>
    <x v="13"/>
    <x v="2"/>
    <x v="1"/>
    <n v="250"/>
    <s v="Albain Forestier"/>
    <n v="3"/>
    <n v="0.44339908275720785"/>
    <n v="749.5566009172428"/>
  </r>
  <r>
    <s v="PBOR00287"/>
    <s v="PIZB0003"/>
    <x v="18"/>
    <x v="3"/>
    <x v="0"/>
    <n v="130"/>
    <s v="Roch Cousineau"/>
    <n v="3"/>
    <n v="0.12575036810320794"/>
    <n v="389.87424963189682"/>
  </r>
  <r>
    <s v="PBOR00288"/>
    <s v="PIZB0004"/>
    <x v="23"/>
    <x v="4"/>
    <x v="1"/>
    <n v="60"/>
    <s v="Adrien Martin"/>
    <n v="13"/>
    <n v="0.58443763111426095"/>
    <n v="779.41556236888573"/>
  </r>
  <r>
    <s v="PBOR00289"/>
    <s v="PIZB0005"/>
    <x v="36"/>
    <x v="0"/>
    <x v="0"/>
    <n v="72"/>
    <s v="Albain Forestier"/>
    <n v="11"/>
    <n v="0.20269838427382159"/>
    <n v="791.79730161572616"/>
  </r>
  <r>
    <s v="PBOR00290"/>
    <s v="PIZB0001"/>
    <x v="37"/>
    <x v="1"/>
    <x v="1"/>
    <n v="65"/>
    <s v="Roch Cousineau"/>
    <n v="5"/>
    <n v="0.34588473967990274"/>
    <n v="324.65411526032011"/>
  </r>
  <r>
    <s v="PBOR00291"/>
    <s v="PIZB0002"/>
    <x v="4"/>
    <x v="2"/>
    <x v="0"/>
    <n v="250"/>
    <s v="Adrien Martin"/>
    <n v="3"/>
    <n v="0.44863071332488991"/>
    <n v="749.55136928667514"/>
  </r>
  <r>
    <s v="PBOR00292"/>
    <s v="PIZB0003"/>
    <x v="3"/>
    <x v="3"/>
    <x v="1"/>
    <n v="130"/>
    <s v="Albain Forestier"/>
    <n v="2"/>
    <n v="0.41195662281860623"/>
    <n v="259.58804337718141"/>
  </r>
  <r>
    <s v="PBOR00293"/>
    <s v="PIZB0004"/>
    <x v="35"/>
    <x v="0"/>
    <x v="0"/>
    <n v="72"/>
    <s v="Roch Cousineau"/>
    <n v="10"/>
    <n v="0.78611978286567918"/>
    <n v="719.21388021713437"/>
  </r>
  <r>
    <s v="PBOR00294"/>
    <s v="PIZB0001"/>
    <x v="11"/>
    <x v="1"/>
    <x v="1"/>
    <n v="65"/>
    <s v="Adrien Martin"/>
    <n v="12"/>
    <n v="0.82093526112515247"/>
    <n v="779.1790647388749"/>
  </r>
  <r>
    <s v="PBOR00295"/>
    <s v="PIZB0002"/>
    <x v="10"/>
    <x v="2"/>
    <x v="0"/>
    <n v="250"/>
    <s v="Albain Forestier"/>
    <n v="3"/>
    <n v="0.5655055849614361"/>
    <n v="749.43449441503856"/>
  </r>
  <r>
    <s v="PBOR00296"/>
    <s v="PIZB0003"/>
    <x v="1"/>
    <x v="3"/>
    <x v="1"/>
    <n v="130"/>
    <s v="Roch Cousineau"/>
    <n v="4"/>
    <n v="0.48001599413027629"/>
    <n v="519.51998400586967"/>
  </r>
  <r>
    <s v="PBOR00297"/>
    <s v="PIZB0004"/>
    <x v="17"/>
    <x v="4"/>
    <x v="0"/>
    <n v="60"/>
    <s v="Adrien Martin"/>
    <n v="9"/>
    <n v="0.80703544305681518"/>
    <n v="539.19296455694314"/>
  </r>
  <r>
    <s v="PBOR00298"/>
    <s v="PIZB0005"/>
    <x v="17"/>
    <x v="5"/>
    <x v="1"/>
    <n v="95"/>
    <s v="Albain Forestier"/>
    <n v="6"/>
    <n v="0.13472953271650978"/>
    <n v="569.86527046728349"/>
  </r>
  <r>
    <s v="PBOR00299"/>
    <s v="PIZB0006"/>
    <x v="37"/>
    <x v="0"/>
    <x v="0"/>
    <n v="72"/>
    <s v="Roch Cousineau"/>
    <n v="9"/>
    <n v="0.53735244514022174"/>
    <n v="647.46264755485981"/>
  </r>
  <r>
    <s v="PBOR00300"/>
    <s v="PIZB0001"/>
    <x v="4"/>
    <x v="1"/>
    <x v="1"/>
    <n v="65"/>
    <s v="Adrien Martin"/>
    <n v="10"/>
    <n v="0.86493253723020291"/>
    <n v="649.13506746276983"/>
  </r>
  <r>
    <s v="PBOR00301"/>
    <s v="PIZB0002"/>
    <x v="2"/>
    <x v="2"/>
    <x v="0"/>
    <n v="250"/>
    <s v="Albain Forestier"/>
    <n v="2"/>
    <n v="0.14635193252367351"/>
    <n v="499.85364806747634"/>
  </r>
  <r>
    <s v="PBOR00302"/>
    <s v="PIZB0003"/>
    <x v="12"/>
    <x v="3"/>
    <x v="1"/>
    <n v="130"/>
    <s v="Roch Cousineau"/>
    <n v="5"/>
    <n v="0.49930216593502397"/>
    <n v="649.50069783406502"/>
  </r>
  <r>
    <s v="PBOR00303"/>
    <s v="PIZB0004"/>
    <x v="0"/>
    <x v="0"/>
    <x v="0"/>
    <n v="72"/>
    <s v="Adrien Martin"/>
    <n v="4"/>
    <n v="0.16760369217058779"/>
    <n v="287.83239630782941"/>
  </r>
  <r>
    <s v="PBOR00304"/>
    <s v="PIZB0001"/>
    <x v="38"/>
    <x v="1"/>
    <x v="1"/>
    <n v="65"/>
    <s v="Albain Forestier"/>
    <n v="13"/>
    <n v="0.57040391639924315"/>
    <n v="844.42959608360081"/>
  </r>
  <r>
    <s v="PBOR00305"/>
    <s v="PIZB0002"/>
    <x v="1"/>
    <x v="2"/>
    <x v="1"/>
    <n v="250"/>
    <s v="Roch Cousineau"/>
    <n v="2"/>
    <n v="0.35240472893682595"/>
    <n v="499.64759527106315"/>
  </r>
  <r>
    <s v="PBOR00306"/>
    <s v="PIZB0003"/>
    <x v="2"/>
    <x v="3"/>
    <x v="1"/>
    <n v="130"/>
    <s v="Adrien Martin"/>
    <n v="3"/>
    <n v="0.11208092156242278"/>
    <n v="389.88791907843756"/>
  </r>
  <r>
    <s v="PBOR00307"/>
    <s v="PIZB0004"/>
    <x v="5"/>
    <x v="4"/>
    <x v="1"/>
    <n v="60"/>
    <s v="Albain Forestier"/>
    <n v="10"/>
    <n v="0.57839134647100132"/>
    <n v="599.42160865352901"/>
  </r>
  <r>
    <s v="PBOR00308"/>
    <s v="PIZB0005"/>
    <x v="3"/>
    <x v="0"/>
    <x v="1"/>
    <n v="72"/>
    <s v="Roch Cousineau"/>
    <n v="9"/>
    <n v="0.18785567306752626"/>
    <n v="647.81214432693253"/>
  </r>
  <r>
    <s v="PBOR00309"/>
    <s v="PIZB0001"/>
    <x v="36"/>
    <x v="1"/>
    <x v="0"/>
    <n v="65"/>
    <s v="Adrien Martin"/>
    <n v="8"/>
    <n v="0.69234786906479862"/>
    <n v="519.30765213093525"/>
  </r>
  <r>
    <s v="PBOR00310"/>
    <s v="PIZB0002"/>
    <x v="24"/>
    <x v="2"/>
    <x v="1"/>
    <n v="250"/>
    <s v="Albain Forestier"/>
    <n v="3"/>
    <n v="0.7313105471637672"/>
    <n v="749.26868945283627"/>
  </r>
  <r>
    <s v="PBOR00311"/>
    <s v="PIZB0003"/>
    <x v="21"/>
    <x v="3"/>
    <x v="0"/>
    <n v="130"/>
    <s v="Roch Cousineau"/>
    <n v="3"/>
    <n v="0.39651294953245186"/>
    <n v="389.60348705046755"/>
  </r>
  <r>
    <s v="PBOR00312"/>
    <s v="PIZB0004"/>
    <x v="32"/>
    <x v="0"/>
    <x v="1"/>
    <n v="72"/>
    <s v="Adrien Martin"/>
    <n v="5"/>
    <n v="0.47053293956185105"/>
    <n v="359.52946706043815"/>
  </r>
  <r>
    <s v="PBOR00313"/>
    <s v="PIZB0001"/>
    <x v="4"/>
    <x v="1"/>
    <x v="0"/>
    <n v="65"/>
    <s v="Albain Forestier"/>
    <n v="9"/>
    <n v="0.9022424845836422"/>
    <n v="584.09775751541633"/>
  </r>
  <r>
    <s v="PBOR00314"/>
    <s v="PIZB0002"/>
    <x v="2"/>
    <x v="2"/>
    <x v="1"/>
    <n v="250"/>
    <s v="Roch Cousineau"/>
    <n v="1"/>
    <n v="0.25057968884738369"/>
    <n v="249.74942031115262"/>
  </r>
  <r>
    <s v="PBOR00315"/>
    <s v="PIZB0003"/>
    <x v="27"/>
    <x v="3"/>
    <x v="0"/>
    <n v="130"/>
    <s v="Adrien Martin"/>
    <n v="4"/>
    <n v="0.56892266919679113"/>
    <n v="519.43107733080319"/>
  </r>
  <r>
    <s v="PBOR00316"/>
    <s v="PIZB0004"/>
    <x v="0"/>
    <x v="4"/>
    <x v="1"/>
    <n v="60"/>
    <s v="Albain Forestier"/>
    <n v="6"/>
    <n v="3.357106137416721E-2"/>
    <n v="359.96642893862582"/>
  </r>
  <r>
    <s v="PBOR00317"/>
    <s v="PIZB0005"/>
    <x v="1"/>
    <x v="5"/>
    <x v="0"/>
    <n v="95"/>
    <s v="Roch Cousineau"/>
    <n v="4"/>
    <n v="0.11797039324964398"/>
    <n v="379.88202960675034"/>
  </r>
  <r>
    <s v="PBOR00318"/>
    <s v="PIZB0006"/>
    <x v="28"/>
    <x v="0"/>
    <x v="1"/>
    <n v="72"/>
    <s v="Adrien Martin"/>
    <n v="8"/>
    <n v="2.8176385964748696E-2"/>
    <n v="575.9718236140352"/>
  </r>
  <r>
    <s v="PBOR00319"/>
    <s v="PIZB0001"/>
    <x v="8"/>
    <x v="1"/>
    <x v="0"/>
    <n v="65"/>
    <s v="Albain Forestier"/>
    <n v="8"/>
    <n v="0.66941136725758887"/>
    <n v="519.33058863274243"/>
  </r>
  <r>
    <s v="PBOR00320"/>
    <s v="PIZB0002"/>
    <x v="33"/>
    <x v="2"/>
    <x v="1"/>
    <n v="250"/>
    <s v="Roch Cousineau"/>
    <n v="2"/>
    <n v="0.36448172495541775"/>
    <n v="499.6355182750446"/>
  </r>
  <r>
    <s v="PBOR00321"/>
    <s v="PIZB0003"/>
    <x v="14"/>
    <x v="3"/>
    <x v="0"/>
    <n v="130"/>
    <s v="Adrien Martin"/>
    <n v="7"/>
    <n v="0.15416488306079768"/>
    <n v="909.84583511693916"/>
  </r>
  <r>
    <s v="PBOR00322"/>
    <s v="PIZB0004"/>
    <x v="16"/>
    <x v="0"/>
    <x v="1"/>
    <n v="72"/>
    <s v="Albain Forestier"/>
    <n v="7"/>
    <n v="0.66646609625242947"/>
    <n v="503.33353390374759"/>
  </r>
  <r>
    <s v="PBOR00323"/>
    <s v="PIZB0001"/>
    <x v="17"/>
    <x v="1"/>
    <x v="0"/>
    <n v="65"/>
    <s v="Roch Cousineau"/>
    <n v="4"/>
    <n v="0.69183752034253276"/>
    <n v="259.30816247965748"/>
  </r>
  <r>
    <s v="PBOR00324"/>
    <s v="PIZB0002"/>
    <x v="17"/>
    <x v="2"/>
    <x v="1"/>
    <n v="250"/>
    <s v="Adrien Martin"/>
    <n v="2"/>
    <n v="0.14649599591234685"/>
    <n v="499.85350400408765"/>
  </r>
  <r>
    <s v="PBOR00325"/>
    <s v="PIZB0003"/>
    <x v="5"/>
    <x v="3"/>
    <x v="0"/>
    <n v="130"/>
    <s v="Albain Forestier"/>
    <n v="2"/>
    <n v="0.98540635482364014"/>
    <n v="259.01459364517638"/>
  </r>
  <r>
    <s v="PBOR00326"/>
    <s v="PIZB0004"/>
    <x v="16"/>
    <x v="0"/>
    <x v="1"/>
    <n v="72"/>
    <s v="Roch Cousineau"/>
    <n v="9"/>
    <n v="0.32091320735788698"/>
    <n v="647.67908679264212"/>
  </r>
  <r>
    <s v="PBOR00327"/>
    <s v="PIZB0001"/>
    <x v="1"/>
    <x v="1"/>
    <x v="1"/>
    <n v="65"/>
    <s v="Roch Cousineau"/>
    <n v="9"/>
    <n v="0.94495394109275654"/>
    <n v="584.05504605890724"/>
  </r>
  <r>
    <s v="PBOR00328"/>
    <s v="PIZB0002"/>
    <x v="18"/>
    <x v="2"/>
    <x v="1"/>
    <n v="250"/>
    <s v="Adrien Martin"/>
    <n v="2"/>
    <n v="0.50906748027199666"/>
    <n v="499.49093251972801"/>
  </r>
  <r>
    <s v="PBOR00329"/>
    <s v="PIZB0003"/>
    <x v="3"/>
    <x v="3"/>
    <x v="1"/>
    <n v="130"/>
    <s v="Albain Forestier"/>
    <n v="4"/>
    <n v="0.66059053266706258"/>
    <n v="519.33940946733298"/>
  </r>
  <r>
    <s v="PBOR00330"/>
    <s v="PIZB0004"/>
    <x v="19"/>
    <x v="0"/>
    <x v="1"/>
    <n v="72"/>
    <s v="Roch Cousineau"/>
    <n v="8"/>
    <n v="0.89615601403703116"/>
    <n v="575.10384398596295"/>
  </r>
  <r>
    <s v="PBOR00331"/>
    <s v="PIZB0001"/>
    <x v="20"/>
    <x v="1"/>
    <x v="0"/>
    <n v="65"/>
    <s v="Adrien Martin"/>
    <n v="8"/>
    <n v="0.133950017527805"/>
    <n v="519.86604998247219"/>
  </r>
  <r>
    <s v="PBOR00332"/>
    <s v="PIZB0002"/>
    <x v="21"/>
    <x v="2"/>
    <x v="1"/>
    <n v="250"/>
    <s v="Albain Forestier"/>
    <n v="4"/>
    <n v="0.3823797297998468"/>
    <n v="999.61762027020018"/>
  </r>
  <r>
    <s v="PBOR00333"/>
    <s v="PIZB0003"/>
    <x v="22"/>
    <x v="3"/>
    <x v="0"/>
    <n v="130"/>
    <s v="Roch Cousineau"/>
    <n v="2"/>
    <n v="0.15073825601342095"/>
    <n v="259.84926174398657"/>
  </r>
  <r>
    <s v="PBOR00334"/>
    <s v="PIZB0004"/>
    <x v="23"/>
    <x v="4"/>
    <x v="1"/>
    <n v="60"/>
    <s v="Adrien Martin"/>
    <n v="10"/>
    <n v="0.96395128247903139"/>
    <n v="599.036048717521"/>
  </r>
  <r>
    <s v="PBOR00335"/>
    <s v="PIZB0005"/>
    <x v="24"/>
    <x v="0"/>
    <x v="0"/>
    <n v="72"/>
    <s v="Albain Forestier"/>
    <n v="5"/>
    <n v="0.93894083705684528"/>
    <n v="359.06105916294314"/>
  </r>
  <r>
    <s v="PBOR00336"/>
    <s v="PIZB0001"/>
    <x v="16"/>
    <x v="1"/>
    <x v="1"/>
    <n v="65"/>
    <s v="Roch Cousineau"/>
    <n v="7"/>
    <n v="0.90335270578489546"/>
    <n v="454.09664729421513"/>
  </r>
  <r>
    <s v="PBOR00337"/>
    <s v="PIZB0002"/>
    <x v="25"/>
    <x v="2"/>
    <x v="0"/>
    <n v="250"/>
    <s v="Adrien Martin"/>
    <n v="2"/>
    <n v="0.62209777321995885"/>
    <n v="499.37790222678007"/>
  </r>
  <r>
    <s v="PBOR00338"/>
    <s v="PIZB0003"/>
    <x v="6"/>
    <x v="3"/>
    <x v="1"/>
    <n v="130"/>
    <s v="Albain Forestier"/>
    <n v="5"/>
    <n v="6.1676790443396468E-2"/>
    <n v="649.93832320955664"/>
  </r>
  <r>
    <s v="PBOR00339"/>
    <s v="PIZB0004"/>
    <x v="2"/>
    <x v="0"/>
    <x v="0"/>
    <n v="72"/>
    <s v="Roch Cousineau"/>
    <n v="12"/>
    <n v="0.49213521317421138"/>
    <n v="863.50786478682573"/>
  </r>
  <r>
    <s v="PBOR00340"/>
    <s v="PIZB0001"/>
    <x v="26"/>
    <x v="1"/>
    <x v="1"/>
    <n v="65"/>
    <s v="Adrien Martin"/>
    <n v="9"/>
    <n v="0.69552711985994919"/>
    <n v="584.30447288014"/>
  </r>
  <r>
    <s v="PBOR00341"/>
    <s v="PIZB0002"/>
    <x v="4"/>
    <x v="2"/>
    <x v="0"/>
    <n v="250"/>
    <s v="Albain Forestier"/>
    <n v="4"/>
    <n v="0.54528907278354111"/>
    <n v="999.45471092721641"/>
  </r>
  <r>
    <s v="PBOR00342"/>
    <s v="PIZB0003"/>
    <x v="27"/>
    <x v="3"/>
    <x v="1"/>
    <n v="130"/>
    <s v="Roch Cousineau"/>
    <n v="4"/>
    <n v="0.35199536538224718"/>
    <n v="519.64800463461779"/>
  </r>
  <r>
    <s v="PBOR00343"/>
    <s v="PIZB0004"/>
    <x v="15"/>
    <x v="4"/>
    <x v="0"/>
    <n v="60"/>
    <s v="Adrien Martin"/>
    <n v="6"/>
    <n v="6.0292533629099143E-2"/>
    <n v="359.93970746637092"/>
  </r>
  <r>
    <s v="PBOR00344"/>
    <s v="PIZB0005"/>
    <x v="28"/>
    <x v="5"/>
    <x v="1"/>
    <n v="95"/>
    <s v="Albain Forestier"/>
    <n v="7"/>
    <n v="4.1434457281700587E-2"/>
    <n v="664.95856554271825"/>
  </r>
  <r>
    <s v="PBOR00345"/>
    <s v="PIZB0006"/>
    <x v="8"/>
    <x v="0"/>
    <x v="0"/>
    <n v="72"/>
    <s v="Roch Cousineau"/>
    <n v="3"/>
    <n v="0.29516274884520199"/>
    <n v="215.7048372511548"/>
  </r>
  <r>
    <s v="PBOR00346"/>
    <s v="PIZB0001"/>
    <x v="6"/>
    <x v="1"/>
    <x v="1"/>
    <n v="65"/>
    <s v="Adrien Martin"/>
    <n v="4"/>
    <n v="0.68154294540119276"/>
    <n v="259.31845705459881"/>
  </r>
  <r>
    <s v="PBOR00347"/>
    <s v="PIZB0002"/>
    <x v="27"/>
    <x v="2"/>
    <x v="0"/>
    <n v="250"/>
    <s v="Albain Forestier"/>
    <n v="1"/>
    <n v="0.52632346520297391"/>
    <n v="249.47367653479702"/>
  </r>
  <r>
    <s v="PBOR00348"/>
    <s v="PIZB0003"/>
    <x v="10"/>
    <x v="3"/>
    <x v="1"/>
    <n v="130"/>
    <s v="Roch Cousineau"/>
    <n v="6"/>
    <n v="5.4437687903536869E-2"/>
    <n v="779.94556231209651"/>
  </r>
  <r>
    <s v="PBOR00349"/>
    <s v="PIZB0004"/>
    <x v="29"/>
    <x v="0"/>
    <x v="1"/>
    <n v="72"/>
    <s v="Adrien Martin"/>
    <n v="10"/>
    <n v="0.95350738842174898"/>
    <n v="719.04649261157829"/>
  </r>
  <r>
    <s v="PBOR00350"/>
    <s v="PIZB0001"/>
    <x v="30"/>
    <x v="1"/>
    <x v="1"/>
    <n v="65"/>
    <s v="Albain Forestier"/>
    <n v="4"/>
    <n v="0.46726651348176196"/>
    <n v="259.53273348651823"/>
  </r>
  <r>
    <s v="PBOR00351"/>
    <s v="PIZB0002"/>
    <x v="31"/>
    <x v="2"/>
    <x v="1"/>
    <n v="250"/>
    <s v="Roch Cousineau"/>
    <n v="2"/>
    <n v="0.6015089815611987"/>
    <n v="499.39849101843879"/>
  </r>
  <r>
    <s v="PBOR00352"/>
    <s v="PIZB0003"/>
    <x v="27"/>
    <x v="3"/>
    <x v="1"/>
    <n v="130"/>
    <s v="Adrien Martin"/>
    <n v="7"/>
    <n v="0.17158764742187849"/>
    <n v="909.82841235257808"/>
  </r>
  <r>
    <s v="PBOR00353"/>
    <s v="PIZB0004"/>
    <x v="29"/>
    <x v="4"/>
    <x v="0"/>
    <n v="60"/>
    <s v="Albain Forestier"/>
    <n v="11"/>
    <n v="0.44731050880102885"/>
    <n v="659.55268949119898"/>
  </r>
  <r>
    <s v="PBOR00354"/>
    <s v="PIZB0005"/>
    <x v="1"/>
    <x v="0"/>
    <x v="1"/>
    <n v="72"/>
    <s v="Roch Cousineau"/>
    <n v="8"/>
    <n v="0.54246953050958213"/>
    <n v="575.45753046949039"/>
  </r>
  <r>
    <s v="PBOR00355"/>
    <s v="PIZB0001"/>
    <x v="11"/>
    <x v="1"/>
    <x v="0"/>
    <n v="65"/>
    <s v="Adrien Martin"/>
    <n v="11"/>
    <n v="0.50484804947298401"/>
    <n v="714.49515195052697"/>
  </r>
  <r>
    <s v="PBOR00356"/>
    <s v="PIZB0002"/>
    <x v="5"/>
    <x v="2"/>
    <x v="1"/>
    <n v="250"/>
    <s v="Albain Forestier"/>
    <n v="4"/>
    <n v="9.2316747421295475E-2"/>
    <n v="999.90768325257875"/>
  </r>
  <r>
    <s v="PBOR00357"/>
    <s v="PIZB0003"/>
    <x v="2"/>
    <x v="3"/>
    <x v="0"/>
    <n v="130"/>
    <s v="Roch Cousineau"/>
    <n v="7"/>
    <n v="0.34907542272706216"/>
    <n v="909.65092457727292"/>
  </r>
  <r>
    <s v="PBOR00358"/>
    <s v="PIZB0004"/>
    <x v="31"/>
    <x v="0"/>
    <x v="1"/>
    <n v="72"/>
    <s v="Adrien Martin"/>
    <n v="4"/>
    <n v="0.90031823580716619"/>
    <n v="287.09968176419284"/>
  </r>
  <r>
    <s v="PBOR00359"/>
    <s v="PIZB0001"/>
    <x v="3"/>
    <x v="1"/>
    <x v="0"/>
    <n v="65"/>
    <s v="Albain Forestier"/>
    <n v="5"/>
    <n v="0.18050692795462731"/>
    <n v="324.81949307204536"/>
  </r>
  <r>
    <s v="PBOR00360"/>
    <s v="PIZB0002"/>
    <x v="25"/>
    <x v="2"/>
    <x v="1"/>
    <n v="250"/>
    <s v="Roch Cousineau"/>
    <n v="1"/>
    <n v="2.5445092820001292E-2"/>
    <n v="249.97455490717999"/>
  </r>
  <r>
    <s v="PBOR00361"/>
    <s v="PIZB0003"/>
    <x v="7"/>
    <x v="3"/>
    <x v="0"/>
    <n v="130"/>
    <s v="Adrien Martin"/>
    <n v="2"/>
    <n v="0.79643741142705549"/>
    <n v="259.20356258857294"/>
  </r>
  <r>
    <s v="PBOR00362"/>
    <s v="PIZB0004"/>
    <x v="25"/>
    <x v="4"/>
    <x v="1"/>
    <n v="60"/>
    <s v="Albain Forestier"/>
    <n v="14"/>
    <n v="0.16077213359827813"/>
    <n v="839.83922786640176"/>
  </r>
  <r>
    <s v="PBOR00363"/>
    <s v="PIZB0005"/>
    <x v="32"/>
    <x v="5"/>
    <x v="0"/>
    <n v="95"/>
    <s v="Roch Cousineau"/>
    <n v="9"/>
    <n v="0.24693836978869843"/>
    <n v="854.75306163021128"/>
  </r>
  <r>
    <s v="PBOR00364"/>
    <s v="PIZB0006"/>
    <x v="33"/>
    <x v="0"/>
    <x v="1"/>
    <n v="72"/>
    <s v="Adrien Martin"/>
    <n v="8"/>
    <n v="0.22148207946738752"/>
    <n v="575.77851792053264"/>
  </r>
  <r>
    <s v="PBOR00365"/>
    <s v="PIZB0001"/>
    <x v="33"/>
    <x v="1"/>
    <x v="0"/>
    <n v="65"/>
    <s v="Albain Forestier"/>
    <n v="11"/>
    <n v="0.71458846230959472"/>
    <n v="714.28541153769038"/>
  </r>
  <r>
    <s v="PBOR00366"/>
    <s v="PIZB0002"/>
    <x v="22"/>
    <x v="2"/>
    <x v="1"/>
    <n v="250"/>
    <s v="Roch Cousineau"/>
    <n v="4"/>
    <n v="0.11286694488931481"/>
    <n v="999.88713305511067"/>
  </r>
  <r>
    <s v="PBOR00367"/>
    <s v="PIZB0003"/>
    <x v="34"/>
    <x v="3"/>
    <x v="0"/>
    <n v="130"/>
    <s v="Adrien Martin"/>
    <n v="6"/>
    <n v="6.5283590828819849E-2"/>
    <n v="779.93471640917119"/>
  </r>
  <r>
    <s v="PBOR00368"/>
    <s v="PIZB0004"/>
    <x v="7"/>
    <x v="0"/>
    <x v="1"/>
    <n v="72"/>
    <s v="Albain Forestier"/>
    <n v="11"/>
    <n v="0.46681751998353072"/>
    <n v="791.53318248001642"/>
  </r>
  <r>
    <s v="PBOR00369"/>
    <s v="PIZB0001"/>
    <x v="3"/>
    <x v="1"/>
    <x v="0"/>
    <n v="65"/>
    <s v="Roch Cousineau"/>
    <n v="9"/>
    <n v="0.92202770154223668"/>
    <n v="584.07797229845778"/>
  </r>
  <r>
    <s v="PBOR00370"/>
    <s v="PIZB0002"/>
    <x v="31"/>
    <x v="2"/>
    <x v="1"/>
    <n v="250"/>
    <s v="Adrien Martin"/>
    <n v="2"/>
    <n v="0.18840485753727232"/>
    <n v="499.81159514246275"/>
  </r>
  <r>
    <s v="PBOR00371"/>
    <s v="PIZB0003"/>
    <x v="4"/>
    <x v="3"/>
    <x v="1"/>
    <n v="130"/>
    <s v="Albain Forestier"/>
    <n v="2"/>
    <n v="0.27847072137209206"/>
    <n v="259.72152927862788"/>
  </r>
  <r>
    <s v="PBOR00372"/>
    <s v="PIZB0001"/>
    <x v="34"/>
    <x v="0"/>
    <x v="1"/>
    <n v="72"/>
    <s v="Roch Cousineau"/>
    <n v="10"/>
    <n v="0.78884251376405168"/>
    <n v="719.21115748623595"/>
  </r>
  <r>
    <s v="PBOR00373"/>
    <s v="PIZB0002"/>
    <x v="13"/>
    <x v="1"/>
    <x v="1"/>
    <n v="65"/>
    <s v="Roch Cousineau"/>
    <n v="5"/>
    <n v="0.18299168548896383"/>
    <n v="324.81700831451104"/>
  </r>
  <r>
    <s v="PBOR00374"/>
    <s v="PIZB0003"/>
    <x v="35"/>
    <x v="2"/>
    <x v="1"/>
    <n v="250"/>
    <s v="Adrien Martin"/>
    <n v="3"/>
    <n v="0.20591715888096995"/>
    <n v="749.79408284111901"/>
  </r>
  <r>
    <s v="PBOR00375"/>
    <s v="PIZB0004"/>
    <x v="2"/>
    <x v="3"/>
    <x v="0"/>
    <n v="130"/>
    <s v="Albain Forestier"/>
    <n v="2"/>
    <n v="2.128339836887938E-2"/>
    <n v="259.97871660163111"/>
  </r>
  <r>
    <s v="PBOR00376"/>
    <s v="PIZB0001"/>
    <x v="13"/>
    <x v="0"/>
    <x v="1"/>
    <n v="72"/>
    <s v="Roch Cousineau"/>
    <n v="4"/>
    <n v="2.2806889019524657E-2"/>
    <n v="287.97719311098047"/>
  </r>
  <r>
    <s v="PBOR00377"/>
    <s v="PIZB0002"/>
    <x v="18"/>
    <x v="1"/>
    <x v="0"/>
    <n v="65"/>
    <s v="Adrien Martin"/>
    <n v="6"/>
    <n v="0.66448214030499053"/>
    <n v="389.33551785969502"/>
  </r>
  <r>
    <s v="PBOR00378"/>
    <s v="PIZB0003"/>
    <x v="23"/>
    <x v="2"/>
    <x v="1"/>
    <n v="250"/>
    <s v="Albain Forestier"/>
    <n v="3"/>
    <n v="0.29151955249280481"/>
    <n v="749.70848044750721"/>
  </r>
  <r>
    <s v="PBOR00379"/>
    <s v="PIZB0004"/>
    <x v="36"/>
    <x v="3"/>
    <x v="0"/>
    <n v="130"/>
    <s v="Roch Cousineau"/>
    <n v="5"/>
    <n v="0.55684098110336311"/>
    <n v="649.44315901889661"/>
  </r>
  <r>
    <s v="PBOR00380"/>
    <s v="PIZB0005"/>
    <x v="37"/>
    <x v="4"/>
    <x v="1"/>
    <n v="60"/>
    <s v="Adrien Martin"/>
    <n v="14"/>
    <n v="0.57240542144015649"/>
    <n v="839.42759457855982"/>
  </r>
  <r>
    <s v="PBOR00381"/>
    <s v="PIZB0001"/>
    <x v="4"/>
    <x v="0"/>
    <x v="0"/>
    <n v="72"/>
    <s v="Albain Forestier"/>
    <n v="3"/>
    <n v="8.6221643115211744E-2"/>
    <n v="215.91377835688479"/>
  </r>
  <r>
    <s v="PBOR00382"/>
    <s v="PIZB0002"/>
    <x v="3"/>
    <x v="1"/>
    <x v="1"/>
    <n v="65"/>
    <s v="Roch Cousineau"/>
    <n v="10"/>
    <n v="0.95609718609661631"/>
    <n v="649.0439028139034"/>
  </r>
  <r>
    <s v="PBOR00383"/>
    <s v="PIZB0003"/>
    <x v="35"/>
    <x v="2"/>
    <x v="0"/>
    <n v="250"/>
    <s v="Adrien Martin"/>
    <n v="2"/>
    <n v="0.2455223768222089"/>
    <n v="499.75447762317776"/>
  </r>
  <r>
    <s v="PBOR00384"/>
    <s v="PIZB0004"/>
    <x v="11"/>
    <x v="3"/>
    <x v="1"/>
    <n v="130"/>
    <s v="Albain Forestier"/>
    <n v="7"/>
    <n v="0.56637632681080741"/>
    <n v="909.43362367318923"/>
  </r>
  <r>
    <s v="PBOR00385"/>
    <s v="PIZB0001"/>
    <x v="10"/>
    <x v="0"/>
    <x v="0"/>
    <n v="72"/>
    <s v="Roch Cousineau"/>
    <n v="11"/>
    <n v="4.5179835219914199E-2"/>
    <n v="791.95482016478013"/>
  </r>
  <r>
    <s v="PBOR00386"/>
    <s v="PIZB0002"/>
    <x v="1"/>
    <x v="1"/>
    <x v="1"/>
    <n v="65"/>
    <s v="Adrien Martin"/>
    <n v="13"/>
    <n v="0.97345529924354934"/>
    <n v="844.0265447007564"/>
  </r>
  <r>
    <s v="PBOR00387"/>
    <s v="PIZB0003"/>
    <x v="17"/>
    <x v="2"/>
    <x v="0"/>
    <n v="250"/>
    <s v="Albain Forestier"/>
    <n v="3"/>
    <n v="0.56733394419124217"/>
    <n v="749.4326660558088"/>
  </r>
  <r>
    <s v="PBOR00388"/>
    <s v="PIZB0004"/>
    <x v="17"/>
    <x v="3"/>
    <x v="1"/>
    <n v="130"/>
    <s v="Roch Cousineau"/>
    <n v="6"/>
    <n v="0.37928431149731212"/>
    <n v="779.62071568850274"/>
  </r>
  <r>
    <s v="PBOR00389"/>
    <s v="PIZB0005"/>
    <x v="37"/>
    <x v="4"/>
    <x v="0"/>
    <n v="60"/>
    <s v="Adrien Martin"/>
    <n v="15"/>
    <n v="0.62865911330533553"/>
    <n v="899.37134088669461"/>
  </r>
  <r>
    <s v="PBOR00390"/>
    <s v="PIZB0006"/>
    <x v="4"/>
    <x v="5"/>
    <x v="1"/>
    <n v="95"/>
    <s v="Albain Forestier"/>
    <n v="6"/>
    <n v="0.37937934610324464"/>
    <n v="569.62062065389671"/>
  </r>
  <r>
    <s v="PBOR00391"/>
    <s v="PIZB0001"/>
    <x v="2"/>
    <x v="0"/>
    <x v="0"/>
    <n v="72"/>
    <s v="Roch Cousineau"/>
    <n v="11"/>
    <n v="0.35891515866951118"/>
    <n v="791.64108484133044"/>
  </r>
  <r>
    <s v="PBOR00392"/>
    <s v="PIZB0002"/>
    <x v="12"/>
    <x v="1"/>
    <x v="1"/>
    <n v="65"/>
    <s v="Adrien Martin"/>
    <n v="13"/>
    <n v="0.90122352916020354"/>
    <n v="844.09877647083977"/>
  </r>
  <r>
    <s v="PBOR00393"/>
    <s v="PIZB0003"/>
    <x v="0"/>
    <x v="2"/>
    <x v="1"/>
    <n v="250"/>
    <s v="Albain Forestier"/>
    <n v="3"/>
    <n v="0.37786597877728811"/>
    <n v="749.62213402122268"/>
  </r>
  <r>
    <s v="PBOR00394"/>
    <s v="PIZB0004"/>
    <x v="38"/>
    <x v="3"/>
    <x v="1"/>
    <n v="130"/>
    <s v="Roch Cousineau"/>
    <n v="3"/>
    <n v="0.38913445453338702"/>
    <n v="389.61086554546659"/>
  </r>
  <r>
    <s v="PBOR00395"/>
    <s v="PIZB0001"/>
    <x v="1"/>
    <x v="0"/>
    <x v="1"/>
    <n v="72"/>
    <s v="Adrien Martin"/>
    <n v="12"/>
    <n v="0.60714667724340543"/>
    <n v="863.39285332275665"/>
  </r>
  <r>
    <s v="PBOR00396"/>
    <s v="PIZB0002"/>
    <x v="2"/>
    <x v="1"/>
    <x v="1"/>
    <n v="65"/>
    <s v="Albain Forestier"/>
    <n v="8"/>
    <n v="0.17261163513710231"/>
    <n v="519.82738836486294"/>
  </r>
  <r>
    <s v="PBOR00397"/>
    <s v="PIZB0003"/>
    <x v="5"/>
    <x v="2"/>
    <x v="0"/>
    <n v="250"/>
    <s v="Roch Cousineau"/>
    <n v="1"/>
    <n v="3.4451566476951467E-2"/>
    <n v="249.96554843352305"/>
  </r>
  <r>
    <s v="PBOR00398"/>
    <s v="PIZB0004"/>
    <x v="3"/>
    <x v="3"/>
    <x v="1"/>
    <n v="130"/>
    <s v="Adrien Martin"/>
    <n v="4"/>
    <n v="0.36600821552214791"/>
    <n v="519.63399178447787"/>
  </r>
  <r>
    <s v="PBOR00399"/>
    <s v="PIZB0005"/>
    <x v="36"/>
    <x v="4"/>
    <x v="0"/>
    <n v="60"/>
    <s v="Albain Forestier"/>
    <n v="4"/>
    <n v="0.36876304797324455"/>
    <n v="239.63123695202677"/>
  </r>
  <r>
    <s v="PBOR00400"/>
    <s v="PIZB0001"/>
    <x v="24"/>
    <x v="0"/>
    <x v="1"/>
    <n v="72"/>
    <s v="Roch Cousineau"/>
    <n v="12"/>
    <n v="0.78491525862060318"/>
    <n v="863.21508474137943"/>
  </r>
  <r>
    <s v="PBOR00401"/>
    <s v="PIZB0002"/>
    <x v="21"/>
    <x v="1"/>
    <x v="0"/>
    <n v="65"/>
    <s v="Adrien Martin"/>
    <n v="4"/>
    <n v="0.89433154555842931"/>
    <n v="259.10566845444157"/>
  </r>
  <r>
    <s v="PBOR00402"/>
    <s v="PIZB0003"/>
    <x v="32"/>
    <x v="2"/>
    <x v="1"/>
    <n v="250"/>
    <s v="Albain Forestier"/>
    <n v="1"/>
    <n v="0.54494310667938251"/>
    <n v="249.45505689332063"/>
  </r>
  <r>
    <s v="PBOR00403"/>
    <s v="PIZB0004"/>
    <x v="4"/>
    <x v="3"/>
    <x v="0"/>
    <n v="130"/>
    <s v="Roch Cousineau"/>
    <n v="7"/>
    <n v="0.84443209424513666"/>
    <n v="909.15556790575488"/>
  </r>
  <r>
    <s v="PBOR00404"/>
    <s v="PIZB0001"/>
    <x v="2"/>
    <x v="0"/>
    <x v="1"/>
    <n v="72"/>
    <s v="Adrien Martin"/>
    <n v="7"/>
    <n v="0.11084077878058052"/>
    <n v="503.88915922121942"/>
  </r>
  <r>
    <s v="PBOR00405"/>
    <s v="PIZB0002"/>
    <x v="27"/>
    <x v="1"/>
    <x v="0"/>
    <n v="65"/>
    <s v="Albain Forestier"/>
    <n v="9"/>
    <n v="0.26630312920291821"/>
    <n v="584.73369687079708"/>
  </r>
  <r>
    <s v="PBOR00406"/>
    <s v="PIZB0003"/>
    <x v="0"/>
    <x v="2"/>
    <x v="1"/>
    <n v="250"/>
    <s v="Roch Cousineau"/>
    <n v="3"/>
    <n v="0.13279161787420113"/>
    <n v="749.8672083821258"/>
  </r>
  <r>
    <s v="PBOR00407"/>
    <s v="PIZB0004"/>
    <x v="1"/>
    <x v="3"/>
    <x v="0"/>
    <n v="130"/>
    <s v="Adrien Martin"/>
    <n v="4"/>
    <n v="0.20794478004129135"/>
    <n v="519.79205521995868"/>
  </r>
  <r>
    <s v="PBOR00408"/>
    <s v="PIZB0005"/>
    <x v="28"/>
    <x v="4"/>
    <x v="1"/>
    <n v="60"/>
    <s v="Albain Forestier"/>
    <n v="12"/>
    <n v="0.76031378549826045"/>
    <n v="719.23968621450172"/>
  </r>
  <r>
    <s v="PBOR00409"/>
    <s v="PIZB0006"/>
    <x v="8"/>
    <x v="5"/>
    <x v="0"/>
    <n v="95"/>
    <s v="Roch Cousineau"/>
    <n v="8"/>
    <n v="0.23804641255169789"/>
    <n v="759.76195358744826"/>
  </r>
  <r>
    <s v="PBOR00410"/>
    <s v="PIZB0001"/>
    <x v="33"/>
    <x v="0"/>
    <x v="1"/>
    <n v="72"/>
    <s v="Adrien Martin"/>
    <n v="5"/>
    <n v="0.12523689369936652"/>
    <n v="359.87476310630063"/>
  </r>
  <r>
    <s v="PBOR00411"/>
    <s v="PIZB0002"/>
    <x v="14"/>
    <x v="1"/>
    <x v="0"/>
    <n v="65"/>
    <s v="Albain Forestier"/>
    <n v="4"/>
    <n v="6.7101746358327108E-2"/>
    <n v="259.93289825364167"/>
  </r>
  <r>
    <s v="PBOR00412"/>
    <s v="PIZB0003"/>
    <x v="16"/>
    <x v="2"/>
    <x v="1"/>
    <n v="250"/>
    <s v="Roch Cousineau"/>
    <n v="2"/>
    <n v="0.98970617123906524"/>
    <n v="499.01029382876095"/>
  </r>
  <r>
    <s v="PBOR00413"/>
    <s v="PIZB0004"/>
    <x v="17"/>
    <x v="3"/>
    <x v="0"/>
    <n v="130"/>
    <s v="Adrien Martin"/>
    <n v="2"/>
    <n v="0.26202679185175082"/>
    <n v="259.73797320814828"/>
  </r>
  <r>
    <s v="PBOR00414"/>
    <s v="PIZB0001"/>
    <x v="17"/>
    <x v="0"/>
    <x v="1"/>
    <n v="72"/>
    <s v="Albain Forestier"/>
    <n v="10"/>
    <n v="0.87263143953916489"/>
    <n v="719.12736856046081"/>
  </r>
  <r>
    <s v="PBOR00415"/>
    <s v="PIZB0002"/>
    <x v="5"/>
    <x v="1"/>
    <x v="1"/>
    <n v="65"/>
    <s v="Roch Cousineau"/>
    <n v="6"/>
    <n v="0.76778137062272289"/>
    <n v="389.23221862937726"/>
  </r>
  <r>
    <s v="PBOR00416"/>
    <s v="PIZB0003"/>
    <x v="16"/>
    <x v="2"/>
    <x v="1"/>
    <n v="250"/>
    <s v="Adrien Martin"/>
    <n v="1"/>
    <n v="0.15750010631121669"/>
    <n v="249.8424998936888"/>
  </r>
  <r>
    <s v="PBOR00417"/>
    <s v="PIZB0004"/>
    <x v="1"/>
    <x v="0"/>
    <x v="1"/>
    <n v="72"/>
    <s v="Albain Forestier"/>
    <n v="9"/>
    <n v="0.53570171465492589"/>
    <n v="647.46429828534508"/>
  </r>
  <r>
    <s v="PBOR00418"/>
    <s v="PIZB0001"/>
    <x v="18"/>
    <x v="1"/>
    <x v="1"/>
    <n v="65"/>
    <s v="Roch Cousineau"/>
    <n v="7"/>
    <n v="0.88217490075954386"/>
    <n v="454.11782509924046"/>
  </r>
  <r>
    <s v="PBOR00419"/>
    <s v="PIZB0002"/>
    <x v="3"/>
    <x v="2"/>
    <x v="0"/>
    <n v="250"/>
    <s v="Roch Cousineau"/>
    <n v="3"/>
    <n v="7.4850081465574259E-2"/>
    <n v="749.92514991853443"/>
  </r>
  <r>
    <s v="PBOR00420"/>
    <s v="PIZB0003"/>
    <x v="19"/>
    <x v="3"/>
    <x v="1"/>
    <n v="130"/>
    <s v="Adrien Martin"/>
    <n v="4"/>
    <n v="0.4623515242530305"/>
    <n v="519.53764847574701"/>
  </r>
  <r>
    <s v="PBOR00421"/>
    <s v="PIZB0004"/>
    <x v="20"/>
    <x v="0"/>
    <x v="0"/>
    <n v="72"/>
    <s v="Albain Forestier"/>
    <n v="10"/>
    <n v="0.34462700763177134"/>
    <n v="719.65537299236826"/>
  </r>
  <r>
    <s v="PBOR00422"/>
    <s v="PIZB0001"/>
    <x v="21"/>
    <x v="1"/>
    <x v="1"/>
    <n v="65"/>
    <s v="Roch Cousineau"/>
    <n v="7"/>
    <n v="0.69911624131260175"/>
    <n v="454.30088375868741"/>
  </r>
  <r>
    <s v="PBOR00423"/>
    <s v="PIZB0002"/>
    <x v="22"/>
    <x v="2"/>
    <x v="0"/>
    <n v="250"/>
    <s v="Adrien Martin"/>
    <n v="1"/>
    <n v="1.890946986705988E-2"/>
    <n v="249.98109053013295"/>
  </r>
  <r>
    <s v="PBOR00424"/>
    <s v="PIZB0003"/>
    <x v="23"/>
    <x v="3"/>
    <x v="1"/>
    <n v="130"/>
    <s v="Albain Forestier"/>
    <n v="5"/>
    <n v="0.73245470088007136"/>
    <n v="649.26754529911989"/>
  </r>
  <r>
    <s v="PBOR00425"/>
    <s v="PIZB0004"/>
    <x v="24"/>
    <x v="4"/>
    <x v="0"/>
    <n v="60"/>
    <s v="Roch Cousineau"/>
    <n v="5"/>
    <n v="0.72297451744539321"/>
    <n v="299.27702548255462"/>
  </r>
  <r>
    <s v="PBOR00426"/>
    <s v="PIZB0005"/>
    <x v="16"/>
    <x v="0"/>
    <x v="1"/>
    <n v="72"/>
    <s v="Adrien Martin"/>
    <n v="9"/>
    <n v="0.97417776505363807"/>
    <n v="647.02582223494642"/>
  </r>
  <r>
    <s v="PBOR00427"/>
    <s v="PIZB0001"/>
    <x v="25"/>
    <x v="1"/>
    <x v="0"/>
    <n v="65"/>
    <s v="Albain Forestier"/>
    <n v="7"/>
    <n v="0.92441295707634297"/>
    <n v="454.07558704292364"/>
  </r>
  <r>
    <s v="PBOR00428"/>
    <s v="PIZB0002"/>
    <x v="6"/>
    <x v="2"/>
    <x v="1"/>
    <n v="250"/>
    <s v="Roch Cousineau"/>
    <n v="3"/>
    <n v="0.34841204291363526"/>
    <n v="749.65158795708635"/>
  </r>
  <r>
    <s v="PBOR00429"/>
    <s v="PIZB0003"/>
    <x v="2"/>
    <x v="3"/>
    <x v="0"/>
    <n v="130"/>
    <s v="Adrien Martin"/>
    <n v="7"/>
    <n v="0.36862795502486845"/>
    <n v="909.63137204497514"/>
  </r>
  <r>
    <s v="PBOR00430"/>
    <s v="PIZB0004"/>
    <x v="26"/>
    <x v="0"/>
    <x v="1"/>
    <n v="72"/>
    <s v="Albain Forestier"/>
    <n v="12"/>
    <n v="0.38279600115505574"/>
    <n v="863.61720399884496"/>
  </r>
  <r>
    <s v="PBOR00431"/>
    <s v="PIZB0001"/>
    <x v="4"/>
    <x v="1"/>
    <x v="0"/>
    <n v="65"/>
    <s v="Roch Cousineau"/>
    <n v="7"/>
    <n v="0.77278161923763322"/>
    <n v="454.22721838076239"/>
  </r>
  <r>
    <s v="PBOR00432"/>
    <s v="PIZB0002"/>
    <x v="27"/>
    <x v="2"/>
    <x v="1"/>
    <n v="250"/>
    <s v="Adrien Martin"/>
    <n v="3"/>
    <n v="0.98194581947705439"/>
    <n v="749.018054180523"/>
  </r>
  <r>
    <s v="PBOR00433"/>
    <s v="PIZB0003"/>
    <x v="15"/>
    <x v="3"/>
    <x v="0"/>
    <n v="130"/>
    <s v="Albain Forestier"/>
    <n v="6"/>
    <n v="0.24372632968767749"/>
    <n v="779.75627367031234"/>
  </r>
  <r>
    <s v="PBOR00434"/>
    <s v="PIZB0004"/>
    <x v="28"/>
    <x v="4"/>
    <x v="1"/>
    <n v="60"/>
    <s v="Roch Cousineau"/>
    <n v="14"/>
    <n v="0.50977491571581557"/>
    <n v="839.49022508428413"/>
  </r>
  <r>
    <s v="PBOR00435"/>
    <s v="PIZB0005"/>
    <x v="8"/>
    <x v="5"/>
    <x v="0"/>
    <n v="95"/>
    <s v="Adrien Martin"/>
    <n v="7"/>
    <n v="0.99123744515485723"/>
    <n v="664.00876255484513"/>
  </r>
  <r>
    <s v="PBOR00436"/>
    <s v="PIZB0006"/>
    <x v="6"/>
    <x v="0"/>
    <x v="1"/>
    <n v="72"/>
    <s v="Albain Forestier"/>
    <n v="5"/>
    <n v="0.58001027642401182"/>
    <n v="359.41998972357601"/>
  </r>
  <r>
    <s v="PBOR00437"/>
    <s v="PIZB0001"/>
    <x v="27"/>
    <x v="1"/>
    <x v="1"/>
    <n v="65"/>
    <s v="Roch Cousineau"/>
    <n v="8"/>
    <n v="0.20099809520802481"/>
    <n v="519.79900190479202"/>
  </r>
  <r>
    <s v="PBOR00438"/>
    <s v="PIZB0002"/>
    <x v="10"/>
    <x v="2"/>
    <x v="1"/>
    <n v="250"/>
    <s v="Adrien Martin"/>
    <n v="3"/>
    <n v="8.7589082057090373E-2"/>
    <n v="749.91241091794291"/>
  </r>
  <r>
    <s v="PBOR00439"/>
    <s v="PIZB0003"/>
    <x v="29"/>
    <x v="3"/>
    <x v="1"/>
    <n v="130"/>
    <s v="Albain Forestier"/>
    <n v="4"/>
    <n v="0.92203517798439572"/>
    <n v="519.07796482201559"/>
  </r>
  <r>
    <s v="PBOR00440"/>
    <s v="PIZB0004"/>
    <x v="30"/>
    <x v="0"/>
    <x v="1"/>
    <n v="72"/>
    <s v="Roch Cousineau"/>
    <n v="10"/>
    <n v="0.40646951216415605"/>
    <n v="719.59353048783589"/>
  </r>
  <r>
    <s v="PBOR00441"/>
    <s v="PIZB0001"/>
    <x v="31"/>
    <x v="1"/>
    <x v="0"/>
    <n v="65"/>
    <s v="Adrien Martin"/>
    <n v="4"/>
    <n v="0.45522048494031297"/>
    <n v="259.5447795150597"/>
  </r>
  <r>
    <s v="PBOR00442"/>
    <s v="PIZB0002"/>
    <x v="27"/>
    <x v="2"/>
    <x v="1"/>
    <n v="250"/>
    <s v="Albain Forestier"/>
    <n v="3"/>
    <n v="0.45514828780898176"/>
    <n v="749.54485171219096"/>
  </r>
  <r>
    <s v="PBOR00443"/>
    <s v="PIZB0003"/>
    <x v="29"/>
    <x v="3"/>
    <x v="0"/>
    <n v="130"/>
    <s v="Roch Cousineau"/>
    <n v="2"/>
    <n v="0.30126486834826394"/>
    <n v="259.69873513165174"/>
  </r>
  <r>
    <s v="PBOR00444"/>
    <s v="PIZB0004"/>
    <x v="1"/>
    <x v="4"/>
    <x v="1"/>
    <n v="60"/>
    <s v="Adrien Martin"/>
    <n v="4"/>
    <n v="0.22886312078587356"/>
    <n v="239.77113687921414"/>
  </r>
  <r>
    <s v="PBOR00445"/>
    <s v="PIZB0005"/>
    <x v="11"/>
    <x v="0"/>
    <x v="0"/>
    <n v="72"/>
    <s v="Albain Forestier"/>
    <n v="4"/>
    <n v="0.4885587902090005"/>
    <n v="287.51144120979097"/>
  </r>
  <r>
    <s v="PBOR00446"/>
    <s v="PIZB0001"/>
    <x v="5"/>
    <x v="1"/>
    <x v="1"/>
    <n v="65"/>
    <s v="Roch Cousineau"/>
    <n v="7"/>
    <n v="0.88301012782394861"/>
    <n v="454.11698987217608"/>
  </r>
  <r>
    <s v="PBOR00447"/>
    <s v="PIZB0002"/>
    <x v="2"/>
    <x v="2"/>
    <x v="0"/>
    <n v="250"/>
    <s v="Adrien Martin"/>
    <n v="2"/>
    <n v="0.30705024398286174"/>
    <n v="499.69294975601713"/>
  </r>
  <r>
    <s v="PBOR00448"/>
    <s v="PIZB0003"/>
    <x v="31"/>
    <x v="3"/>
    <x v="1"/>
    <n v="130"/>
    <s v="Albain Forestier"/>
    <n v="6"/>
    <n v="0.85704939563753491"/>
    <n v="779.14295060436245"/>
  </r>
  <r>
    <s v="PBOR00449"/>
    <s v="PIZB0004"/>
    <x v="3"/>
    <x v="0"/>
    <x v="0"/>
    <n v="72"/>
    <s v="Roch Cousineau"/>
    <n v="9"/>
    <n v="0.29159802445516347"/>
    <n v="647.7084019755448"/>
  </r>
  <r>
    <s v="PBOR00450"/>
    <s v="PIZB0001"/>
    <x v="25"/>
    <x v="1"/>
    <x v="1"/>
    <n v="65"/>
    <s v="Adrien Martin"/>
    <n v="9"/>
    <n v="0.2589445683285162"/>
    <n v="584.7410554316715"/>
  </r>
  <r>
    <s v="PBOR00451"/>
    <s v="PIZB0002"/>
    <x v="7"/>
    <x v="2"/>
    <x v="0"/>
    <n v="250"/>
    <s v="Albain Forestier"/>
    <n v="2"/>
    <n v="0.2954209948681138"/>
    <n v="499.7045790051319"/>
  </r>
  <r>
    <s v="PBOR00452"/>
    <s v="PIZB0003"/>
    <x v="25"/>
    <x v="3"/>
    <x v="1"/>
    <n v="130"/>
    <s v="Roch Cousineau"/>
    <n v="2"/>
    <n v="7.4202009604403041E-2"/>
    <n v="259.92579799039561"/>
  </r>
  <r>
    <s v="PBOR00453"/>
    <s v="PIZB0004"/>
    <x v="32"/>
    <x v="4"/>
    <x v="0"/>
    <n v="60"/>
    <s v="Adrien Martin"/>
    <n v="11"/>
    <n v="3.9067003401354383E-2"/>
    <n v="659.96093299659867"/>
  </r>
  <r>
    <s v="PBOR00454"/>
    <s v="PIZB0005"/>
    <x v="33"/>
    <x v="5"/>
    <x v="1"/>
    <n v="95"/>
    <s v="Albain Forestier"/>
    <n v="4"/>
    <n v="0.76468504660372305"/>
    <n v="379.23531495339626"/>
  </r>
  <r>
    <s v="PBOR00455"/>
    <s v="PIZB0006"/>
    <x v="33"/>
    <x v="0"/>
    <x v="0"/>
    <n v="72"/>
    <s v="Roch Cousineau"/>
    <n v="11"/>
    <n v="0.74867480539232067"/>
    <n v="791.25132519460772"/>
  </r>
  <r>
    <s v="PBOR00456"/>
    <s v="PIZB0001"/>
    <x v="22"/>
    <x v="1"/>
    <x v="1"/>
    <n v="65"/>
    <s v="Adrien Martin"/>
    <n v="6"/>
    <n v="0.69300939202757139"/>
    <n v="389.30699060797241"/>
  </r>
  <r>
    <s v="PBOR00457"/>
    <s v="PIZB0002"/>
    <x v="34"/>
    <x v="2"/>
    <x v="0"/>
    <n v="250"/>
    <s v="Albain Forestier"/>
    <n v="1"/>
    <n v="0.52937391222103747"/>
    <n v="249.47062608777895"/>
  </r>
  <r>
    <s v="PBOR00458"/>
    <s v="PIZB0003"/>
    <x v="7"/>
    <x v="3"/>
    <x v="1"/>
    <n v="130"/>
    <s v="Roch Cousineau"/>
    <n v="3"/>
    <n v="0.32413514859934134"/>
    <n v="389.67586485140066"/>
  </r>
  <r>
    <s v="PBOR00459"/>
    <s v="PIZB0004"/>
    <x v="3"/>
    <x v="0"/>
    <x v="1"/>
    <n v="72"/>
    <s v="Adrien Martin"/>
    <n v="4"/>
    <n v="0.35907775149399723"/>
    <n v="287.640922248506"/>
  </r>
  <r>
    <s v="PBOR00460"/>
    <s v="PIZB0001"/>
    <x v="31"/>
    <x v="1"/>
    <x v="1"/>
    <n v="65"/>
    <s v="Albain Forestier"/>
    <n v="6"/>
    <n v="0.65908590258865696"/>
    <n v="389.34091409741137"/>
  </r>
  <r>
    <s v="PBOR00461"/>
    <s v="PIZB0002"/>
    <x v="4"/>
    <x v="2"/>
    <x v="1"/>
    <n v="250"/>
    <s v="Roch Cousineau"/>
    <n v="2"/>
    <n v="0.51385178684784039"/>
    <n v="499.48614821315215"/>
  </r>
  <r>
    <s v="PBOR00462"/>
    <s v="PIZB0003"/>
    <x v="34"/>
    <x v="3"/>
    <x v="1"/>
    <n v="130"/>
    <s v="Adrien Martin"/>
    <n v="4"/>
    <n v="0.76665009072072687"/>
    <n v="519.23334990927924"/>
  </r>
  <r>
    <s v="PBOR00463"/>
    <s v="PIZB0004"/>
    <x v="13"/>
    <x v="0"/>
    <x v="0"/>
    <n v="72"/>
    <s v="Albain Forestier"/>
    <n v="5"/>
    <n v="0.73529214203054083"/>
    <n v="359.26470785796948"/>
  </r>
  <r>
    <s v="PBOR00464"/>
    <s v="PIZB0001"/>
    <x v="35"/>
    <x v="1"/>
    <x v="1"/>
    <n v="65"/>
    <s v="Roch Cousineau"/>
    <n v="9"/>
    <n v="0.44567996518569519"/>
    <n v="584.55432003481428"/>
  </r>
  <r>
    <s v="PBOR00465"/>
    <s v="PIZB0002"/>
    <x v="2"/>
    <x v="2"/>
    <x v="0"/>
    <n v="250"/>
    <s v="Roch Cousineau"/>
    <n v="2"/>
    <n v="0.80491760131950119"/>
    <n v="499.19508239868048"/>
  </r>
  <r>
    <s v="PBOR00466"/>
    <s v="PIZB0003"/>
    <x v="13"/>
    <x v="3"/>
    <x v="1"/>
    <n v="130"/>
    <s v="Adrien Martin"/>
    <n v="4"/>
    <n v="0.63252724233750568"/>
    <n v="519.36747275766254"/>
  </r>
  <r>
    <s v="PBOR00467"/>
    <s v="PIZB0004"/>
    <x v="18"/>
    <x v="0"/>
    <x v="0"/>
    <n v="72"/>
    <s v="Albain Forestier"/>
    <n v="12"/>
    <n v="0.54172415841062738"/>
    <n v="863.4582758415894"/>
  </r>
  <r>
    <s v="PBOR00468"/>
    <s v="PIZB0001"/>
    <x v="23"/>
    <x v="1"/>
    <x v="1"/>
    <n v="65"/>
    <s v="Roch Cousineau"/>
    <n v="11"/>
    <n v="0.51449622999670686"/>
    <n v="714.48550377000333"/>
  </r>
  <r>
    <s v="PBOR00469"/>
    <s v="PIZB0002"/>
    <x v="36"/>
    <x v="2"/>
    <x v="0"/>
    <n v="250"/>
    <s v="Adrien Martin"/>
    <n v="2"/>
    <n v="0.23752502847518697"/>
    <n v="499.7624749715248"/>
  </r>
  <r>
    <s v="PBOR00470"/>
    <s v="PIZB0003"/>
    <x v="37"/>
    <x v="3"/>
    <x v="1"/>
    <n v="130"/>
    <s v="Albain Forestier"/>
    <n v="4"/>
    <n v="0.99120610081358274"/>
    <n v="519.00879389918646"/>
  </r>
  <r>
    <s v="PBOR00471"/>
    <s v="PIZB0004"/>
    <x v="4"/>
    <x v="4"/>
    <x v="0"/>
    <n v="60"/>
    <s v="Roch Cousineau"/>
    <n v="9"/>
    <n v="0.59705890981846566"/>
    <n v="539.40294109018157"/>
  </r>
  <r>
    <s v="PBOR00472"/>
    <s v="PIZB0005"/>
    <x v="3"/>
    <x v="0"/>
    <x v="1"/>
    <n v="72"/>
    <s v="Adrien Martin"/>
    <n v="3"/>
    <n v="0.47137791834027587"/>
    <n v="215.52862208165973"/>
  </r>
  <r>
    <s v="PBOR00473"/>
    <s v="PIZB0001"/>
    <x v="35"/>
    <x v="1"/>
    <x v="0"/>
    <n v="65"/>
    <s v="Albain Forestier"/>
    <n v="14"/>
    <n v="0.41181740780767351"/>
    <n v="909.58818259219231"/>
  </r>
  <r>
    <s v="PBOR00474"/>
    <s v="PIZB0002"/>
    <x v="11"/>
    <x v="2"/>
    <x v="1"/>
    <n v="250"/>
    <s v="Roch Cousineau"/>
    <n v="3"/>
    <n v="7.2014892327985192E-2"/>
    <n v="749.92798510767204"/>
  </r>
  <r>
    <s v="PBOR00475"/>
    <s v="PIZB0003"/>
    <x v="10"/>
    <x v="3"/>
    <x v="0"/>
    <n v="130"/>
    <s v="Adrien Martin"/>
    <n v="7"/>
    <n v="0.28425228592980878"/>
    <n v="909.71574771407018"/>
  </r>
  <r>
    <s v="PBOR00476"/>
    <s v="PIZB0004"/>
    <x v="1"/>
    <x v="0"/>
    <x v="1"/>
    <n v="72"/>
    <s v="Albain Forestier"/>
    <n v="3"/>
    <n v="0.51473636278960266"/>
    <n v="215.48526363721041"/>
  </r>
  <r>
    <s v="PBOR00477"/>
    <s v="PIZB0001"/>
    <x v="17"/>
    <x v="1"/>
    <x v="0"/>
    <n v="65"/>
    <s v="Roch Cousineau"/>
    <n v="7"/>
    <n v="0.84360853679959769"/>
    <n v="454.15639146320041"/>
  </r>
  <r>
    <s v="PBOR00478"/>
    <s v="PIZB0002"/>
    <x v="17"/>
    <x v="2"/>
    <x v="1"/>
    <n v="250"/>
    <s v="Adrien Martin"/>
    <n v="3"/>
    <n v="0.79410595242208182"/>
    <n v="749.20589404757789"/>
  </r>
  <r>
    <s v="PBOR00479"/>
    <s v="PIZB0003"/>
    <x v="37"/>
    <x v="3"/>
    <x v="0"/>
    <n v="130"/>
    <s v="Albain Forestier"/>
    <n v="4"/>
    <n v="0.43743103077150813"/>
    <n v="519.56256896922844"/>
  </r>
  <r>
    <s v="PBOR00480"/>
    <s v="PIZB0004"/>
    <x v="4"/>
    <x v="4"/>
    <x v="1"/>
    <n v="60"/>
    <s v="Roch Cousineau"/>
    <n v="7"/>
    <n v="0.62414285851347806"/>
    <n v="419.37585714148651"/>
  </r>
  <r>
    <s v="PBOR00481"/>
    <s v="PIZB0005"/>
    <x v="2"/>
    <x v="5"/>
    <x v="1"/>
    <n v="95"/>
    <s v="Adrien Martin"/>
    <n v="4"/>
    <n v="0.8866455913476804"/>
    <n v="379.1133544086523"/>
  </r>
  <r>
    <s v="PBOR00482"/>
    <s v="PIZB0006"/>
    <x v="12"/>
    <x v="0"/>
    <x v="1"/>
    <n v="72"/>
    <s v="Albain Forestier"/>
    <n v="6"/>
    <n v="0.18359273290431566"/>
    <n v="431.81640726709571"/>
  </r>
  <r>
    <s v="PBOR00483"/>
    <s v="PIZB0001"/>
    <x v="0"/>
    <x v="1"/>
    <x v="1"/>
    <n v="65"/>
    <s v="Roch Cousineau"/>
    <n v="5"/>
    <n v="0.15906506531321729"/>
    <n v="324.8409349346868"/>
  </r>
  <r>
    <s v="PBOR00484"/>
    <s v="PIZB0002"/>
    <x v="38"/>
    <x v="2"/>
    <x v="1"/>
    <n v="250"/>
    <s v="Adrien Martin"/>
    <n v="2"/>
    <n v="0.29466747014106187"/>
    <n v="499.70533252985894"/>
  </r>
  <r>
    <s v="PBOR00485"/>
    <s v="PIZB0003"/>
    <x v="1"/>
    <x v="3"/>
    <x v="0"/>
    <n v="130"/>
    <s v="Albain Forestier"/>
    <n v="2"/>
    <n v="0.35414118605930123"/>
    <n v="259.64585881394072"/>
  </r>
  <r>
    <s v="PBOR00486"/>
    <s v="PIZB0004"/>
    <x v="2"/>
    <x v="0"/>
    <x v="1"/>
    <n v="72"/>
    <s v="Roch Cousineau"/>
    <n v="4"/>
    <n v="0.40463831594750665"/>
    <n v="287.59536168405248"/>
  </r>
  <r>
    <s v="PBOR00487"/>
    <s v="PIZB0001"/>
    <x v="5"/>
    <x v="1"/>
    <x v="0"/>
    <n v="65"/>
    <s v="Adrien Martin"/>
    <n v="10"/>
    <n v="0.56828189926736972"/>
    <n v="649.43171810073261"/>
  </r>
  <r>
    <s v="PBOR00488"/>
    <s v="PIZB0002"/>
    <x v="3"/>
    <x v="2"/>
    <x v="1"/>
    <n v="250"/>
    <s v="Albain Forestier"/>
    <n v="1"/>
    <n v="0.68415839920111321"/>
    <n v="249.31584160079888"/>
  </r>
  <r>
    <s v="PBOR00489"/>
    <s v="PIZB0003"/>
    <x v="36"/>
    <x v="3"/>
    <x v="0"/>
    <n v="130"/>
    <s v="Roch Cousineau"/>
    <n v="6"/>
    <n v="0.47900916747418532"/>
    <n v="779.52099083252585"/>
  </r>
  <r>
    <s v="PBOR00490"/>
    <s v="PIZB0004"/>
    <x v="24"/>
    <x v="4"/>
    <x v="1"/>
    <n v="60"/>
    <s v="Adrien Martin"/>
    <n v="4"/>
    <n v="0.89045722746488731"/>
    <n v="239.10954277253512"/>
  </r>
  <r>
    <s v="PBOR00491"/>
    <s v="PIZB0005"/>
    <x v="21"/>
    <x v="0"/>
    <x v="0"/>
    <n v="72"/>
    <s v="Albain Forestier"/>
    <n v="7"/>
    <n v="0.50949971880500122"/>
    <n v="503.49050028119501"/>
  </r>
  <r>
    <s v="PBOR00492"/>
    <s v="PIZB0001"/>
    <x v="32"/>
    <x v="1"/>
    <x v="1"/>
    <n v="65"/>
    <s v="Roch Cousineau"/>
    <n v="12"/>
    <n v="0.78361211804502018"/>
    <n v="779.21638788195503"/>
  </r>
  <r>
    <s v="PBOR00493"/>
    <s v="PIZB0002"/>
    <x v="4"/>
    <x v="2"/>
    <x v="0"/>
    <n v="250"/>
    <s v="Adrien Martin"/>
    <n v="1"/>
    <n v="6.596920154790531E-2"/>
    <n v="249.93403079845208"/>
  </r>
  <r>
    <s v="PBOR00494"/>
    <s v="PIZB0003"/>
    <x v="2"/>
    <x v="3"/>
    <x v="1"/>
    <n v="130"/>
    <s v="Albain Forestier"/>
    <n v="6"/>
    <n v="0.17858014910494857"/>
    <n v="779.82141985089504"/>
  </r>
  <r>
    <s v="PBOR00495"/>
    <s v="PIZB0004"/>
    <x v="27"/>
    <x v="0"/>
    <x v="0"/>
    <n v="72"/>
    <s v="Roch Cousineau"/>
    <n v="4"/>
    <n v="0.43587855952805254"/>
    <n v="287.56412144047192"/>
  </r>
  <r>
    <s v="PBOR00496"/>
    <s v="PIZB0001"/>
    <x v="0"/>
    <x v="1"/>
    <x v="1"/>
    <n v="65"/>
    <s v="Adrien Martin"/>
    <n v="10"/>
    <n v="0.74040338644493453"/>
    <n v="649.25959661355512"/>
  </r>
  <r>
    <s v="PBOR00497"/>
    <s v="PIZB0002"/>
    <x v="1"/>
    <x v="2"/>
    <x v="0"/>
    <n v="250"/>
    <s v="Albain Forestier"/>
    <n v="4"/>
    <n v="0.54109571345744756"/>
    <n v="999.45890428654252"/>
  </r>
  <r>
    <s v="PBOR00498"/>
    <s v="PIZB0003"/>
    <x v="28"/>
    <x v="3"/>
    <x v="1"/>
    <n v="130"/>
    <s v="Roch Cousineau"/>
    <n v="3"/>
    <n v="0.71271172701355112"/>
    <n v="389.28728827298647"/>
  </r>
  <r>
    <s v="PBOR00499"/>
    <s v="PIZB0004"/>
    <x v="8"/>
    <x v="4"/>
    <x v="0"/>
    <n v="60"/>
    <s v="Adrien Martin"/>
    <n v="13"/>
    <n v="0.66248409996473057"/>
    <n v="779.33751590003521"/>
  </r>
  <r>
    <s v="PBOR00500"/>
    <s v="PIZB0005"/>
    <x v="33"/>
    <x v="5"/>
    <x v="1"/>
    <n v="95"/>
    <s v="Albain Forestier"/>
    <n v="4"/>
    <n v="0.51300641040982664"/>
    <n v="379.48699358959016"/>
  </r>
  <r>
    <s v="PBOR00501"/>
    <s v="PIZB0006"/>
    <x v="14"/>
    <x v="0"/>
    <x v="0"/>
    <n v="72"/>
    <s v="Roch Cousineau"/>
    <n v="3"/>
    <n v="0.84951124937796896"/>
    <n v="215.15048875062203"/>
  </r>
  <r>
    <s v="PBOR00502"/>
    <s v="PIZB0001"/>
    <x v="16"/>
    <x v="1"/>
    <x v="1"/>
    <n v="65"/>
    <s v="Adrien Martin"/>
    <n v="12"/>
    <n v="0.57786595909251792"/>
    <n v="779.42213404090751"/>
  </r>
  <r>
    <s v="PBOR00503"/>
    <s v="PIZB0002"/>
    <x v="17"/>
    <x v="2"/>
    <x v="1"/>
    <n v="250"/>
    <s v="Albain Forestier"/>
    <n v="4"/>
    <n v="1.9027976654024337E-2"/>
    <n v="999.980972023346"/>
  </r>
  <r>
    <s v="PBOR00504"/>
    <s v="PIZB0001"/>
    <x v="39"/>
    <x v="0"/>
    <x v="0"/>
    <n v="72"/>
    <s v="Roch Cousineau"/>
    <n v="9"/>
    <n v="0.91584636136596009"/>
    <n v="647.08415363863401"/>
  </r>
  <r>
    <s v="PBOR00505"/>
    <s v="PIZB0002"/>
    <x v="40"/>
    <x v="1"/>
    <x v="1"/>
    <n v="65"/>
    <s v="Adrien Martin"/>
    <n v="11"/>
    <n v="0.87210344790371475"/>
    <n v="714.12789655209633"/>
  </r>
  <r>
    <s v="PBOR00506"/>
    <s v="PIZB0003"/>
    <x v="41"/>
    <x v="2"/>
    <x v="0"/>
    <n v="250"/>
    <s v="Albain Forestier"/>
    <n v="2"/>
    <n v="0.89808699934501601"/>
    <n v="499.10191300065497"/>
  </r>
  <r>
    <s v="PBOR00507"/>
    <s v="PIZB0004"/>
    <x v="42"/>
    <x v="3"/>
    <x v="1"/>
    <n v="130"/>
    <s v="Roch Cousineau"/>
    <n v="5"/>
    <n v="0.94596819324584169"/>
    <n v="649.05403180675421"/>
  </r>
  <r>
    <s v="PBOR00508"/>
    <s v="PIZB0001"/>
    <x v="43"/>
    <x v="0"/>
    <x v="0"/>
    <n v="72"/>
    <s v="Adrien Martin"/>
    <n v="8"/>
    <n v="2.808441371796111E-2"/>
    <n v="575.97191558628208"/>
  </r>
  <r>
    <s v="PBOR00509"/>
    <s v="PIZB0002"/>
    <x v="44"/>
    <x v="1"/>
    <x v="1"/>
    <n v="65"/>
    <s v="Albain Forestier"/>
    <n v="5"/>
    <n v="0.66198610417857306"/>
    <n v="324.3380138958214"/>
  </r>
  <r>
    <s v="PBOR00510"/>
    <s v="PIZB0003"/>
    <x v="45"/>
    <x v="2"/>
    <x v="0"/>
    <n v="250"/>
    <s v="Roch Cousineau"/>
    <n v="2"/>
    <n v="0.93063034288528679"/>
    <n v="499.06936965711469"/>
  </r>
  <r>
    <s v="PBOR00511"/>
    <s v="PIZB0004"/>
    <x v="46"/>
    <x v="3"/>
    <x v="1"/>
    <n v="130"/>
    <s v="Adrien Martin"/>
    <n v="4"/>
    <n v="0.8147391545265934"/>
    <n v="519.18526084547341"/>
  </r>
  <r>
    <s v="PBOR00512"/>
    <s v="PIZB0005"/>
    <x v="47"/>
    <x v="4"/>
    <x v="0"/>
    <n v="60"/>
    <s v="Albain Forestier"/>
    <n v="12"/>
    <n v="0.93010979040857367"/>
    <n v="719.06989020959145"/>
  </r>
  <r>
    <s v="PBOR00513"/>
    <s v="PIZB0001"/>
    <x v="48"/>
    <x v="0"/>
    <x v="1"/>
    <n v="72"/>
    <s v="Roch Cousineau"/>
    <n v="12"/>
    <n v="0.73435196370416689"/>
    <n v="863.26564803629583"/>
  </r>
  <r>
    <s v="PBOR00514"/>
    <s v="PIZB0002"/>
    <x v="32"/>
    <x v="1"/>
    <x v="0"/>
    <n v="65"/>
    <s v="Adrien Martin"/>
    <n v="9"/>
    <n v="0.66167008822654161"/>
    <n v="584.33832991177349"/>
  </r>
  <r>
    <s v="PBOR00515"/>
    <s v="PIZB0003"/>
    <x v="49"/>
    <x v="2"/>
    <x v="1"/>
    <n v="250"/>
    <s v="Albain Forestier"/>
    <n v="3"/>
    <n v="0.31618807590762266"/>
    <n v="749.68381192409242"/>
  </r>
  <r>
    <s v="PBOR00516"/>
    <s v="PIZB0004"/>
    <x v="19"/>
    <x v="3"/>
    <x v="0"/>
    <n v="130"/>
    <s v="Roch Cousineau"/>
    <n v="6"/>
    <n v="4.895970380695458E-2"/>
    <n v="779.95104029619301"/>
  </r>
  <r>
    <s v="PBOR00517"/>
    <s v="PIZB0001"/>
    <x v="50"/>
    <x v="0"/>
    <x v="1"/>
    <n v="72"/>
    <s v="Adrien Martin"/>
    <n v="8"/>
    <n v="0.89859756315686645"/>
    <n v="575.10140243684316"/>
  </r>
  <r>
    <s v="PBOR00518"/>
    <s v="PIZB0002"/>
    <x v="51"/>
    <x v="1"/>
    <x v="0"/>
    <n v="65"/>
    <s v="Albain Forestier"/>
    <n v="4"/>
    <n v="0.26138846040228847"/>
    <n v="259.73861153959768"/>
  </r>
  <r>
    <s v="PBOR00519"/>
    <s v="PIZB0003"/>
    <x v="29"/>
    <x v="2"/>
    <x v="1"/>
    <n v="250"/>
    <s v="Roch Cousineau"/>
    <n v="2"/>
    <n v="0.2302164071480185"/>
    <n v="499.76978359285198"/>
  </r>
  <r>
    <s v="PBOR00520"/>
    <s v="PIZB0004"/>
    <x v="52"/>
    <x v="3"/>
    <x v="0"/>
    <n v="130"/>
    <s v="Adrien Martin"/>
    <n v="6"/>
    <n v="0.3368892907183838"/>
    <n v="779.66311070928157"/>
  </r>
  <r>
    <s v="PBOR00521"/>
    <s v="PIZB0005"/>
    <x v="26"/>
    <x v="4"/>
    <x v="0"/>
    <n v="60"/>
    <s v="Albain Forestier"/>
    <n v="15"/>
    <n v="0.83330361541201869"/>
    <n v="899.16669638458802"/>
  </r>
  <r>
    <s v="PBOR00522"/>
    <s v="PIZB0006"/>
    <x v="47"/>
    <x v="5"/>
    <x v="1"/>
    <n v="95"/>
    <s v="Roch Cousineau"/>
    <n v="8"/>
    <n v="0.61412313127181006"/>
    <n v="759.38587686872825"/>
  </r>
  <r>
    <s v="PBOR00523"/>
    <s v="PIZB0001"/>
    <x v="46"/>
    <x v="0"/>
    <x v="1"/>
    <n v="72"/>
    <s v="Adrien Martin"/>
    <n v="4"/>
    <n v="0.98994269311349636"/>
    <n v="287.01005730688649"/>
  </r>
  <r>
    <s v="PBOR00524"/>
    <s v="PIZB0002"/>
    <x v="41"/>
    <x v="1"/>
    <x v="1"/>
    <n v="65"/>
    <s v="Albain Forestier"/>
    <n v="3"/>
    <n v="0.41190201682291006"/>
    <n v="194.58809798317708"/>
  </r>
  <r>
    <s v="PBOR00525"/>
    <s v="PIZB0003"/>
    <x v="53"/>
    <x v="2"/>
    <x v="0"/>
    <n v="250"/>
    <s v="Roch Cousineau"/>
    <n v="1"/>
    <n v="0.84563330600021713"/>
    <n v="249.15436669399978"/>
  </r>
  <r>
    <s v="PBOR00526"/>
    <s v="PIZB0004"/>
    <x v="54"/>
    <x v="3"/>
    <x v="0"/>
    <n v="130"/>
    <s v="Adrien Martin"/>
    <n v="3"/>
    <n v="0.94756273560089466"/>
    <n v="389.05243726439909"/>
  </r>
  <r>
    <s v="PBOR00527"/>
    <s v="PIZB0001"/>
    <x v="32"/>
    <x v="0"/>
    <x v="0"/>
    <n v="72"/>
    <s v="Albain Forestier"/>
    <n v="6"/>
    <n v="0.40955245450221911"/>
    <n v="431.5904475454978"/>
  </r>
  <r>
    <s v="PBOR00528"/>
    <s v="PIZB0002"/>
    <x v="30"/>
    <x v="1"/>
    <x v="0"/>
    <n v="65"/>
    <s v="Roch Cousineau"/>
    <n v="12"/>
    <n v="0.34585890428994814"/>
    <n v="779.65414109571009"/>
  </r>
  <r>
    <s v="PBOR00529"/>
    <s v="PIZB0003"/>
    <x v="55"/>
    <x v="2"/>
    <x v="0"/>
    <n v="250"/>
    <s v="Adrien Martin"/>
    <n v="3"/>
    <n v="0.83232949708422777"/>
    <n v="749.16767050291583"/>
  </r>
  <r>
    <s v="PBOR00530"/>
    <s v="PIZB0004"/>
    <x v="19"/>
    <x v="3"/>
    <x v="0"/>
    <n v="130"/>
    <s v="Albain Forestier"/>
    <n v="5"/>
    <n v="0.99029847279174577"/>
    <n v="649.00970152720822"/>
  </r>
  <r>
    <s v="PBOR00531"/>
    <s v="PIZB0005"/>
    <x v="39"/>
    <x v="4"/>
    <x v="0"/>
    <n v="60"/>
    <s v="Roch Cousineau"/>
    <n v="7"/>
    <n v="0.24251272844192839"/>
    <n v="419.75748727155809"/>
  </r>
  <r>
    <s v="PBOR00532"/>
    <s v="PIZB0001"/>
    <x v="33"/>
    <x v="0"/>
    <x v="0"/>
    <n v="72"/>
    <s v="Adrien Martin"/>
    <n v="7"/>
    <n v="0.82527855746555023"/>
    <n v="503.17472144253446"/>
  </r>
  <r>
    <s v="PBOR00533"/>
    <s v="PIZB0002"/>
    <x v="40"/>
    <x v="1"/>
    <x v="0"/>
    <n v="65"/>
    <s v="Albain Forestier"/>
    <n v="12"/>
    <n v="0.15801323159695724"/>
    <n v="779.84198676840299"/>
  </r>
  <r>
    <s v="PBOR00534"/>
    <s v="PIZB0003"/>
    <x v="56"/>
    <x v="2"/>
    <x v="1"/>
    <n v="250"/>
    <s v="Roch Cousineau"/>
    <n v="1"/>
    <n v="0.45059527371184538"/>
    <n v="249.54940472628815"/>
  </r>
  <r>
    <s v="PBOR00535"/>
    <s v="PIZB0004"/>
    <x v="57"/>
    <x v="3"/>
    <x v="0"/>
    <n v="130"/>
    <s v="Adrien Martin"/>
    <n v="2"/>
    <n v="0.99581583391017103"/>
    <n v="259.00418416608983"/>
  </r>
  <r>
    <s v="PBOR00536"/>
    <s v="PIZB0001"/>
    <x v="58"/>
    <x v="0"/>
    <x v="0"/>
    <n v="72"/>
    <s v="Albain Forestier"/>
    <n v="7"/>
    <n v="0.45621113704390082"/>
    <n v="503.54378886295609"/>
  </r>
  <r>
    <s v="PBOR00537"/>
    <s v="PIZB0002"/>
    <x v="59"/>
    <x v="1"/>
    <x v="0"/>
    <n v="65"/>
    <s v="Roch Cousineau"/>
    <n v="3"/>
    <n v="0.81580666970726057"/>
    <n v="194.18419333029274"/>
  </r>
  <r>
    <s v="PBOR00538"/>
    <s v="PIZB0003"/>
    <x v="58"/>
    <x v="2"/>
    <x v="0"/>
    <n v="250"/>
    <s v="Adrien Martin"/>
    <n v="2"/>
    <n v="0.62473235215501788"/>
    <n v="499.37526764784496"/>
  </r>
  <r>
    <s v="PBOR00539"/>
    <s v="PIZB0004"/>
    <x v="30"/>
    <x v="3"/>
    <x v="0"/>
    <n v="130"/>
    <s v="Albain Forestier"/>
    <n v="3"/>
    <n v="0.26172478639216767"/>
    <n v="389.73827521360784"/>
  </r>
  <r>
    <s v="PBOR00540"/>
    <s v="PIZB0005"/>
    <x v="40"/>
    <x v="4"/>
    <x v="1"/>
    <n v="60"/>
    <s v="Roch Cousineau"/>
    <n v="12"/>
    <n v="0.5679963384214598"/>
    <n v="719.43200366157851"/>
  </r>
  <r>
    <s v="PBOR00541"/>
    <s v="PIZB0006"/>
    <x v="57"/>
    <x v="5"/>
    <x v="0"/>
    <n v="95"/>
    <s v="Adrien Martin"/>
    <n v="3"/>
    <n v="0.74002447409372885"/>
    <n v="284.25997552590627"/>
  </r>
  <r>
    <s v="PBOR00542"/>
    <s v="PIZB0001"/>
    <x v="58"/>
    <x v="0"/>
    <x v="0"/>
    <n v="72"/>
    <s v="Albain Forestier"/>
    <n v="6"/>
    <n v="0.90330613325397957"/>
    <n v="431.09669386674602"/>
  </r>
  <r>
    <s v="PBOR00543"/>
    <s v="PIZB0002"/>
    <x v="60"/>
    <x v="1"/>
    <x v="0"/>
    <n v="65"/>
    <s v="Roch Cousineau"/>
    <n v="5"/>
    <n v="0.24414528246451106"/>
    <n v="324.7558547175355"/>
  </r>
  <r>
    <s v="PBOR00544"/>
    <s v="PIZB0003"/>
    <x v="61"/>
    <x v="2"/>
    <x v="1"/>
    <n v="250"/>
    <s v="Adrien Martin"/>
    <n v="3"/>
    <n v="0.14687167484338082"/>
    <n v="749.8531283251566"/>
  </r>
  <r>
    <s v="PBOR00545"/>
    <s v="PIZB0004"/>
    <x v="56"/>
    <x v="3"/>
    <x v="1"/>
    <n v="130"/>
    <s v="Albain Forestier"/>
    <n v="5"/>
    <n v="0.5871547158256365"/>
    <n v="649.41284528417441"/>
  </r>
  <r>
    <s v="PBOR00546"/>
    <s v="PIZB0001"/>
    <x v="30"/>
    <x v="0"/>
    <x v="1"/>
    <n v="72"/>
    <s v="Roch Cousineau"/>
    <n v="6"/>
    <n v="0.79398017852667591"/>
    <n v="431.20601982147332"/>
  </r>
  <r>
    <s v="PBOR00547"/>
    <s v="PIZB0002"/>
    <x v="43"/>
    <x v="1"/>
    <x v="1"/>
    <n v="65"/>
    <s v="Adrien Martin"/>
    <n v="11"/>
    <n v="0.2384532858117131"/>
    <n v="714.76154671418828"/>
  </r>
  <r>
    <s v="PBOR00548"/>
    <s v="PIZB0003"/>
    <x v="62"/>
    <x v="2"/>
    <x v="1"/>
    <n v="250"/>
    <s v="Albain Forestier"/>
    <n v="1"/>
    <n v="0.55626871760203978"/>
    <n v="249.44373128239795"/>
  </r>
  <r>
    <s v="PBOR00549"/>
    <s v="PIZB0004"/>
    <x v="51"/>
    <x v="3"/>
    <x v="1"/>
    <n v="130"/>
    <s v="Roch Cousineau"/>
    <n v="3"/>
    <n v="0.50802243383207624"/>
    <n v="389.49197756616792"/>
  </r>
  <r>
    <s v="PBOR00550"/>
    <s v="PIZB0001"/>
    <x v="63"/>
    <x v="0"/>
    <x v="0"/>
    <n v="72"/>
    <s v="Roch Cousineau"/>
    <n v="10"/>
    <n v="0.82325798366889225"/>
    <n v="719.1767420163311"/>
  </r>
  <r>
    <s v="PBOR00551"/>
    <s v="PIZB0002"/>
    <x v="64"/>
    <x v="1"/>
    <x v="1"/>
    <n v="65"/>
    <s v="Adrien Martin"/>
    <n v="6"/>
    <n v="0.78846552491528121"/>
    <n v="389.2115344750847"/>
  </r>
  <r>
    <s v="PBOR00552"/>
    <s v="PIZB0003"/>
    <x v="63"/>
    <x v="2"/>
    <x v="0"/>
    <n v="250"/>
    <s v="Albain Forestier"/>
    <n v="2"/>
    <n v="0.86883097707025414"/>
    <n v="499.13116902292973"/>
  </r>
  <r>
    <s v="PBOR00553"/>
    <s v="PIZB0004"/>
    <x v="61"/>
    <x v="3"/>
    <x v="1"/>
    <n v="130"/>
    <s v="Roch Cousineau"/>
    <n v="5"/>
    <n v="0.99206244104453045"/>
    <n v="649.00793755895552"/>
  </r>
  <r>
    <s v="PBOR00554"/>
    <s v="PIZB0001"/>
    <x v="62"/>
    <x v="0"/>
    <x v="0"/>
    <n v="72"/>
    <s v="Adrien Martin"/>
    <n v="9"/>
    <n v="0.98531597552220329"/>
    <n v="647.01468402447779"/>
  </r>
  <r>
    <s v="PBOR00555"/>
    <s v="PIZB0002"/>
    <x v="19"/>
    <x v="1"/>
    <x v="1"/>
    <n v="65"/>
    <s v="Albain Forestier"/>
    <n v="5"/>
    <n v="0.16265744619987077"/>
    <n v="324.83734255380011"/>
  </r>
  <r>
    <s v="PBOR00556"/>
    <s v="PIZB0003"/>
    <x v="62"/>
    <x v="2"/>
    <x v="0"/>
    <n v="250"/>
    <s v="Roch Cousineau"/>
    <n v="1"/>
    <n v="0.23372373864798968"/>
    <n v="249.766276261352"/>
  </r>
  <r>
    <s v="PBOR00557"/>
    <s v="PIZB0004"/>
    <x v="43"/>
    <x v="3"/>
    <x v="1"/>
    <n v="130"/>
    <s v="Adrien Martin"/>
    <n v="3"/>
    <n v="0.4838341129603615"/>
    <n v="389.51616588703962"/>
  </r>
  <r>
    <s v="PBOR00558"/>
    <s v="PIZB0005"/>
    <x v="65"/>
    <x v="4"/>
    <x v="0"/>
    <n v="60"/>
    <s v="Albain Forestier"/>
    <n v="7"/>
    <n v="0.31043797632153203"/>
    <n v="419.68956202367849"/>
  </r>
  <r>
    <s v="PBOR00559"/>
    <s v="PIZB0001"/>
    <x v="57"/>
    <x v="0"/>
    <x v="1"/>
    <n v="72"/>
    <s v="Roch Cousineau"/>
    <n v="12"/>
    <n v="0.28045088666741891"/>
    <n v="863.71954911333262"/>
  </r>
  <r>
    <s v="PBOR00560"/>
    <s v="PIZB0002"/>
    <x v="56"/>
    <x v="1"/>
    <x v="0"/>
    <n v="65"/>
    <s v="Adrien Martin"/>
    <n v="12"/>
    <n v="0.98574791455488675"/>
    <n v="779.01425208544515"/>
  </r>
  <r>
    <s v="PBOR00561"/>
    <s v="PIZB0003"/>
    <x v="66"/>
    <x v="2"/>
    <x v="1"/>
    <n v="250"/>
    <s v="Albain Forestier"/>
    <n v="3"/>
    <n v="0.9814546865963697"/>
    <n v="749.01854531340359"/>
  </r>
  <r>
    <s v="PBOR00562"/>
    <s v="PIZB0004"/>
    <x v="37"/>
    <x v="3"/>
    <x v="0"/>
    <n v="130"/>
    <s v="Roch Cousineau"/>
    <n v="5"/>
    <n v="0.63641238013348744"/>
    <n v="649.36358761986651"/>
  </r>
  <r>
    <s v="PBOR00563"/>
    <s v="PIZB0001"/>
    <x v="45"/>
    <x v="0"/>
    <x v="1"/>
    <n v="72"/>
    <s v="Adrien Martin"/>
    <n v="4"/>
    <n v="9.6260894651097217E-2"/>
    <n v="287.9037391053489"/>
  </r>
  <r>
    <s v="PBOR00564"/>
    <s v="PIZB0002"/>
    <x v="67"/>
    <x v="1"/>
    <x v="0"/>
    <n v="65"/>
    <s v="Albain Forestier"/>
    <n v="9"/>
    <n v="0.20770635041363905"/>
    <n v="584.79229364958633"/>
  </r>
  <r>
    <s v="PBOR00565"/>
    <s v="PIZB0003"/>
    <x v="43"/>
    <x v="2"/>
    <x v="1"/>
    <n v="250"/>
    <s v="Roch Cousineau"/>
    <n v="3"/>
    <n v="0.64931431048931709"/>
    <n v="749.35068568951067"/>
  </r>
  <r>
    <s v="PBOR00566"/>
    <s v="PIZB0004"/>
    <x v="68"/>
    <x v="3"/>
    <x v="0"/>
    <n v="130"/>
    <s v="Adrien Martin"/>
    <n v="5"/>
    <n v="0.97682578767904005"/>
    <n v="649.02317421232101"/>
  </r>
  <r>
    <s v="PBOR00567"/>
    <s v="PIZB0005"/>
    <x v="69"/>
    <x v="4"/>
    <x v="0"/>
    <n v="60"/>
    <s v="Albain Forestier"/>
    <n v="4"/>
    <n v="0.25319338259430491"/>
    <n v="239.7468066174057"/>
  </r>
  <r>
    <s v="PBOR00568"/>
    <s v="PIZB0006"/>
    <x v="52"/>
    <x v="5"/>
    <x v="1"/>
    <n v="95"/>
    <s v="Roch Cousineau"/>
    <n v="8"/>
    <n v="0.37141431351752019"/>
    <n v="759.62858568648244"/>
  </r>
  <r>
    <s v="PBOR00569"/>
    <s v="PIZB0001"/>
    <x v="19"/>
    <x v="0"/>
    <x v="1"/>
    <n v="72"/>
    <s v="Adrien Martin"/>
    <n v="9"/>
    <n v="0.21094962005559537"/>
    <n v="647.78905037994446"/>
  </r>
  <r>
    <s v="PBOR00570"/>
    <s v="PIZB0002"/>
    <x v="47"/>
    <x v="1"/>
    <x v="1"/>
    <n v="65"/>
    <s v="Albain Forestier"/>
    <n v="6"/>
    <n v="0.17482653027283768"/>
    <n v="389.82517346972719"/>
  </r>
  <r>
    <s v="PBOR00571"/>
    <s v="PIZB0003"/>
    <x v="70"/>
    <x v="2"/>
    <x v="0"/>
    <n v="250"/>
    <s v="Roch Cousineau"/>
    <n v="4"/>
    <n v="0.95600198498247402"/>
    <n v="999.04399801501756"/>
  </r>
  <r>
    <s v="PBOR00572"/>
    <s v="PIZB0004"/>
    <x v="71"/>
    <x v="3"/>
    <x v="0"/>
    <n v="130"/>
    <s v="Adrien Martin"/>
    <n v="4"/>
    <n v="0.48795133723919482"/>
    <n v="519.51204866276078"/>
  </r>
  <r>
    <s v="PBOR00573"/>
    <s v="PIZB0001"/>
    <x v="58"/>
    <x v="0"/>
    <x v="0"/>
    <n v="72"/>
    <s v="Albain Forestier"/>
    <n v="9"/>
    <n v="0.60021225929980426"/>
    <n v="647.39978774070016"/>
  </r>
  <r>
    <s v="PBOR00574"/>
    <s v="PIZB0002"/>
    <x v="19"/>
    <x v="1"/>
    <x v="0"/>
    <n v="65"/>
    <s v="Roch Cousineau"/>
    <n v="8"/>
    <n v="0.9059194618332278"/>
    <n v="519.09408053816674"/>
  </r>
  <r>
    <s v="PBOR00575"/>
    <s v="PIZB0003"/>
    <x v="32"/>
    <x v="2"/>
    <x v="0"/>
    <n v="250"/>
    <s v="Adrien Martin"/>
    <n v="1"/>
    <n v="0.82098599581197584"/>
    <n v="249.17901400418802"/>
  </r>
  <r>
    <s v="PBOR00576"/>
    <s v="PIZB0004"/>
    <x v="60"/>
    <x v="3"/>
    <x v="0"/>
    <n v="130"/>
    <s v="Albain Forestier"/>
    <n v="3"/>
    <n v="0.70427325962585319"/>
    <n v="389.29572674037416"/>
  </r>
  <r>
    <s v="PBOR00577"/>
    <s v="PIZB0005"/>
    <x v="21"/>
    <x v="4"/>
    <x v="0"/>
    <n v="60"/>
    <s v="Roch Cousineau"/>
    <n v="13"/>
    <n v="0.61241310326701104"/>
    <n v="779.38758689673296"/>
  </r>
  <r>
    <s v="PBOR00578"/>
    <s v="PIZB0001"/>
    <x v="53"/>
    <x v="0"/>
    <x v="0"/>
    <n v="72"/>
    <s v="Adrien Martin"/>
    <n v="4"/>
    <n v="0.27250763572149406"/>
    <n v="287.72749236427853"/>
  </r>
  <r>
    <s v="PBOR00579"/>
    <s v="PIZB0002"/>
    <x v="72"/>
    <x v="1"/>
    <x v="0"/>
    <n v="65"/>
    <s v="Albain Forestier"/>
    <n v="12"/>
    <n v="0.36906583807206228"/>
    <n v="779.63093416192794"/>
  </r>
  <r>
    <s v="PBOR00580"/>
    <s v="PIZB0003"/>
    <x v="32"/>
    <x v="2"/>
    <x v="1"/>
    <n v="250"/>
    <s v="Roch Cousineau"/>
    <n v="3"/>
    <n v="0.8269952040129388"/>
    <n v="749.17300479598703"/>
  </r>
  <r>
    <s v="PBOR00581"/>
    <s v="PIZB0004"/>
    <x v="73"/>
    <x v="3"/>
    <x v="0"/>
    <n v="130"/>
    <s v="Adrien Martin"/>
    <n v="6"/>
    <n v="0.12991652680845867"/>
    <n v="779.87008347319158"/>
  </r>
  <r>
    <s v="PBOR00582"/>
    <s v="PIZB0001"/>
    <x v="74"/>
    <x v="0"/>
    <x v="0"/>
    <n v="72"/>
    <s v="Albain Forestier"/>
    <n v="5"/>
    <n v="0.53070365128934138"/>
    <n v="359.46929634871066"/>
  </r>
  <r>
    <s v="PBOR00583"/>
    <s v="PIZB0002"/>
    <x v="75"/>
    <x v="1"/>
    <x v="0"/>
    <n v="65"/>
    <s v="Roch Cousineau"/>
    <n v="11"/>
    <n v="0.41916637368161125"/>
    <n v="714.58083362631839"/>
  </r>
  <r>
    <s v="PBOR00584"/>
    <s v="PIZB0003"/>
    <x v="76"/>
    <x v="2"/>
    <x v="0"/>
    <n v="250"/>
    <s v="Adrien Martin"/>
    <n v="2"/>
    <n v="0.98006247768556076"/>
    <n v="499.01993752231442"/>
  </r>
  <r>
    <s v="PBOR00585"/>
    <s v="PIZB0004"/>
    <x v="61"/>
    <x v="3"/>
    <x v="0"/>
    <n v="130"/>
    <s v="Albain Forestier"/>
    <n v="2"/>
    <n v="0.30923328394728067"/>
    <n v="259.69076671605274"/>
  </r>
  <r>
    <s v="PBOR00586"/>
    <s v="PIZB0005"/>
    <x v="71"/>
    <x v="4"/>
    <x v="1"/>
    <n v="60"/>
    <s v="Roch Cousineau"/>
    <n v="10"/>
    <n v="0.35492631553116927"/>
    <n v="599.6450736844688"/>
  </r>
  <r>
    <s v="PBOR00587"/>
    <s v="PIZB0006"/>
    <x v="59"/>
    <x v="5"/>
    <x v="0"/>
    <n v="95"/>
    <s v="Adrien Martin"/>
    <n v="6"/>
    <n v="0.62534216408056198"/>
    <n v="569.37465783591949"/>
  </r>
  <r>
    <s v="PBOR00588"/>
    <s v="PIZB0001"/>
    <x v="77"/>
    <x v="0"/>
    <x v="0"/>
    <n v="72"/>
    <s v="Albain Forestier"/>
    <n v="7"/>
    <n v="0.27629356701833141"/>
    <n v="503.72370643298166"/>
  </r>
  <r>
    <s v="PBOR00589"/>
    <s v="PIZB0002"/>
    <x v="19"/>
    <x v="1"/>
    <x v="0"/>
    <n v="65"/>
    <s v="Roch Cousineau"/>
    <n v="8"/>
    <n v="0.88674503279304584"/>
    <n v="519.1132549672069"/>
  </r>
  <r>
    <s v="PBOR00590"/>
    <s v="PIZB0003"/>
    <x v="70"/>
    <x v="2"/>
    <x v="1"/>
    <n v="250"/>
    <s v="Adrien Martin"/>
    <n v="4"/>
    <n v="0.50895405928999027"/>
    <n v="999.49104594071002"/>
  </r>
  <r>
    <s v="PBOR00591"/>
    <s v="PIZB0004"/>
    <x v="46"/>
    <x v="3"/>
    <x v="1"/>
    <n v="130"/>
    <s v="Albain Forestier"/>
    <n v="6"/>
    <n v="0.27956870896746211"/>
    <n v="779.72043129103258"/>
  </r>
  <r>
    <s v="PBOR00592"/>
    <s v="PIZB0001"/>
    <x v="39"/>
    <x v="0"/>
    <x v="1"/>
    <n v="72"/>
    <s v="Roch Cousineau"/>
    <n v="4"/>
    <n v="0.53307211622039985"/>
    <n v="287.46692788377959"/>
  </r>
  <r>
    <s v="PBOR00593"/>
    <s v="PIZB0002"/>
    <x v="39"/>
    <x v="1"/>
    <x v="1"/>
    <n v="65"/>
    <s v="Adrien Martin"/>
    <n v="9"/>
    <n v="8.8079363965207769E-2"/>
    <n v="584.91192063603478"/>
  </r>
  <r>
    <s v="PBOR00594"/>
    <s v="PIZB0003"/>
    <x v="19"/>
    <x v="2"/>
    <x v="1"/>
    <n v="250"/>
    <s v="Albain Forestier"/>
    <n v="1"/>
    <n v="0.64251696362997068"/>
    <n v="249.35748303637004"/>
  </r>
  <r>
    <s v="PBOR00595"/>
    <s v="PIZB0004"/>
    <x v="26"/>
    <x v="3"/>
    <x v="1"/>
    <n v="130"/>
    <s v="Roch Cousineau"/>
    <n v="3"/>
    <n v="0.5231454040605501"/>
    <n v="389.47685459593947"/>
  </r>
  <r>
    <s v="PBOR00596"/>
    <s v="PIZB0001"/>
    <x v="51"/>
    <x v="0"/>
    <x v="0"/>
    <n v="72"/>
    <s v="Roch Cousineau"/>
    <n v="6"/>
    <n v="0.57236294957331224"/>
    <n v="431.42763705042671"/>
  </r>
  <r>
    <s v="PBOR00597"/>
    <s v="PIZB0002"/>
    <x v="51"/>
    <x v="1"/>
    <x v="1"/>
    <n v="65"/>
    <s v="Adrien Martin"/>
    <n v="13"/>
    <n v="0.30417691561530491"/>
    <n v="844.69582308438464"/>
  </r>
  <r>
    <s v="PBOR00598"/>
    <s v="PIZB0003"/>
    <x v="62"/>
    <x v="2"/>
    <x v="0"/>
    <n v="250"/>
    <s v="Albain Forestier"/>
    <n v="1"/>
    <n v="0.74187047097734149"/>
    <n v="249.25812952902265"/>
  </r>
  <r>
    <s v="PBOR00599"/>
    <s v="PIZB0004"/>
    <x v="54"/>
    <x v="3"/>
    <x v="1"/>
    <n v="130"/>
    <s v="Roch Cousineau"/>
    <n v="3"/>
    <n v="0.75670104710878383"/>
    <n v="389.24329895289122"/>
  </r>
  <r>
    <s v="PBOR00600"/>
    <s v="PIZB0001"/>
    <x v="53"/>
    <x v="0"/>
    <x v="0"/>
    <n v="72"/>
    <s v="Adrien Martin"/>
    <n v="6"/>
    <n v="0.67043934876009204"/>
    <n v="431.32956065123989"/>
  </r>
  <r>
    <s v="PBOR00601"/>
    <s v="PIZB0002"/>
    <x v="53"/>
    <x v="1"/>
    <x v="1"/>
    <n v="65"/>
    <s v="Albain Forestier"/>
    <n v="12"/>
    <n v="3.1748727916914632E-2"/>
    <n v="779.96825127208308"/>
  </r>
  <r>
    <s v="PBOR00602"/>
    <s v="PIZB0003"/>
    <x v="67"/>
    <x v="2"/>
    <x v="0"/>
    <n v="250"/>
    <s v="Roch Cousineau"/>
    <n v="3"/>
    <n v="0.61222912248729622"/>
    <n v="749.38777087751271"/>
  </r>
  <r>
    <s v="PBOR00603"/>
    <s v="PIZB0004"/>
    <x v="30"/>
    <x v="3"/>
    <x v="1"/>
    <n v="130"/>
    <s v="Adrien Martin"/>
    <n v="4"/>
    <n v="0.63831168567875085"/>
    <n v="519.36168831432121"/>
  </r>
  <r>
    <s v="PBOR00604"/>
    <s v="PIZB0005"/>
    <x v="52"/>
    <x v="4"/>
    <x v="0"/>
    <n v="60"/>
    <s v="Albain Forestier"/>
    <n v="11"/>
    <n v="0.81086949073896386"/>
    <n v="659.18913050926108"/>
  </r>
  <r>
    <s v="PBOR00605"/>
    <s v="PIZB0001"/>
    <x v="66"/>
    <x v="0"/>
    <x v="1"/>
    <n v="72"/>
    <s v="Roch Cousineau"/>
    <n v="3"/>
    <n v="0.37681304811340011"/>
    <n v="215.62318695188659"/>
  </r>
  <r>
    <s v="PBOR00606"/>
    <s v="PIZB0002"/>
    <x v="56"/>
    <x v="1"/>
    <x v="0"/>
    <n v="65"/>
    <s v="Adrien Martin"/>
    <n v="8"/>
    <n v="0.97905092053743104"/>
    <n v="519.02094907946253"/>
  </r>
  <r>
    <s v="PBOR00607"/>
    <s v="PIZB0003"/>
    <x v="53"/>
    <x v="2"/>
    <x v="1"/>
    <n v="250"/>
    <s v="Albain Forestier"/>
    <n v="3"/>
    <n v="0.31650177153377423"/>
    <n v="749.68349822846619"/>
  </r>
  <r>
    <s v="PBOR00608"/>
    <s v="PIZB0004"/>
    <x v="61"/>
    <x v="3"/>
    <x v="0"/>
    <n v="130"/>
    <s v="Roch Cousineau"/>
    <n v="2"/>
    <n v="0.79924300288466421"/>
    <n v="259.20075699711532"/>
  </r>
  <r>
    <s v="PBOR00609"/>
    <s v="PIZB0001"/>
    <x v="66"/>
    <x v="0"/>
    <x v="1"/>
    <n v="72"/>
    <s v="Adrien Martin"/>
    <n v="12"/>
    <n v="0.85470343145632699"/>
    <n v="863.1452965685437"/>
  </r>
  <r>
    <s v="PBOR00610"/>
    <s v="PIZB0002"/>
    <x v="53"/>
    <x v="1"/>
    <x v="0"/>
    <n v="65"/>
    <s v="Albain Forestier"/>
    <n v="13"/>
    <n v="0.69595923391376546"/>
    <n v="844.30404076608625"/>
  </r>
  <r>
    <s v="PBOR00611"/>
    <s v="PIZB0003"/>
    <x v="44"/>
    <x v="2"/>
    <x v="1"/>
    <n v="250"/>
    <s v="Roch Cousineau"/>
    <n v="2"/>
    <n v="0.13036199426394268"/>
    <n v="499.86963800573608"/>
  </r>
  <r>
    <s v="PBOR00612"/>
    <s v="PIZB0004"/>
    <x v="78"/>
    <x v="3"/>
    <x v="0"/>
    <n v="130"/>
    <s v="Adrien Martin"/>
    <n v="4"/>
    <n v="0.98463413630168384"/>
    <n v="519.01536586369832"/>
  </r>
  <r>
    <s v="PBOR00613"/>
    <s v="PIZB0005"/>
    <x v="41"/>
    <x v="4"/>
    <x v="0"/>
    <n v="60"/>
    <s v="Albain Forestier"/>
    <n v="4"/>
    <n v="0.57486307903890232"/>
    <n v="239.42513692096111"/>
  </r>
  <r>
    <s v="PBOR00614"/>
    <s v="PIZB0006"/>
    <x v="62"/>
    <x v="5"/>
    <x v="1"/>
    <n v="95"/>
    <s v="Roch Cousineau"/>
    <n v="8"/>
    <n v="0.58987016636449452"/>
    <n v="759.41012983363555"/>
  </r>
  <r>
    <s v="PBOR00615"/>
    <s v="PIZB0001"/>
    <x v="72"/>
    <x v="0"/>
    <x v="1"/>
    <n v="72"/>
    <s v="Adrien Martin"/>
    <n v="10"/>
    <n v="0.71869455876896216"/>
    <n v="719.28130544123098"/>
  </r>
  <r>
    <s v="PBOR00616"/>
    <s v="PIZB0002"/>
    <x v="30"/>
    <x v="1"/>
    <x v="1"/>
    <n v="65"/>
    <s v="Albain Forestier"/>
    <n v="7"/>
    <n v="0.64359100074967135"/>
    <n v="454.35640899925033"/>
  </r>
  <r>
    <s v="PBOR00617"/>
    <s v="PIZB0003"/>
    <x v="69"/>
    <x v="2"/>
    <x v="0"/>
    <n v="250"/>
    <s v="Roch Cousineau"/>
    <n v="3"/>
    <n v="0.81427157494679814"/>
    <n v="749.18572842505318"/>
  </r>
  <r>
    <s v="PBOR00618"/>
    <s v="PIZB0004"/>
    <x v="71"/>
    <x v="3"/>
    <x v="0"/>
    <n v="130"/>
    <s v="Adrien Martin"/>
    <n v="6"/>
    <n v="0.29786268009447636"/>
    <n v="779.70213731990555"/>
  </r>
  <r>
    <s v="PBOR00619"/>
    <s v="PIZB0001"/>
    <x v="67"/>
    <x v="0"/>
    <x v="0"/>
    <n v="72"/>
    <s v="Albain Forestier"/>
    <n v="7"/>
    <n v="0.43929993975412618"/>
    <n v="503.56070006024589"/>
  </r>
  <r>
    <s v="PBOR00620"/>
    <s v="PIZB0002"/>
    <x v="68"/>
    <x v="1"/>
    <x v="0"/>
    <n v="65"/>
    <s v="Roch Cousineau"/>
    <n v="3"/>
    <n v="0.32238199179817784"/>
    <n v="194.67761800820182"/>
  </r>
  <r>
    <s v="PBOR00621"/>
    <s v="PIZB0003"/>
    <x v="48"/>
    <x v="2"/>
    <x v="0"/>
    <n v="250"/>
    <s v="Adrien Martin"/>
    <n v="1"/>
    <n v="0.72721159888680664"/>
    <n v="249.27278840111319"/>
  </r>
  <r>
    <s v="PBOR00622"/>
    <s v="PIZB0004"/>
    <x v="26"/>
    <x v="3"/>
    <x v="0"/>
    <n v="130"/>
    <s v="Albain Forestier"/>
    <n v="5"/>
    <n v="0.54339537848059027"/>
    <n v="649.45660462151943"/>
  </r>
  <r>
    <s v="PBOR00623"/>
    <s v="PIZB0005"/>
    <x v="76"/>
    <x v="4"/>
    <x v="0"/>
    <n v="60"/>
    <s v="Roch Cousineau"/>
    <n v="7"/>
    <n v="0.54833240146962181"/>
    <n v="419.45166759853038"/>
  </r>
  <r>
    <s v="PBOR00624"/>
    <s v="PIZB0001"/>
    <x v="45"/>
    <x v="0"/>
    <x v="0"/>
    <n v="72"/>
    <s v="Adrien Martin"/>
    <n v="7"/>
    <n v="0.99217645385423625"/>
    <n v="503.00782354614574"/>
  </r>
  <r>
    <s v="PBOR00625"/>
    <s v="PIZB0002"/>
    <x v="63"/>
    <x v="1"/>
    <x v="0"/>
    <n v="65"/>
    <s v="Albain Forestier"/>
    <n v="11"/>
    <n v="1.1744376425038339E-2"/>
    <n v="714.98825562357501"/>
  </r>
  <r>
    <s v="PBOR00626"/>
    <s v="PIZB0003"/>
    <x v="58"/>
    <x v="2"/>
    <x v="1"/>
    <n v="250"/>
    <s v="Roch Cousineau"/>
    <n v="1"/>
    <n v="0.11072706281231803"/>
    <n v="249.88927293718768"/>
  </r>
  <r>
    <s v="PBOR00627"/>
    <s v="PIZB0004"/>
    <x v="62"/>
    <x v="3"/>
    <x v="0"/>
    <n v="130"/>
    <s v="Adrien Martin"/>
    <n v="5"/>
    <n v="0.76902750626151839"/>
    <n v="649.23097249373848"/>
  </r>
  <r>
    <s v="PBOR00628"/>
    <s v="PIZB0001"/>
    <x v="79"/>
    <x v="0"/>
    <x v="0"/>
    <n v="72"/>
    <s v="Albain Forestier"/>
    <n v="11"/>
    <n v="0.42942637040714005"/>
    <n v="791.5705736295929"/>
  </r>
  <r>
    <s v="PBOR00629"/>
    <s v="PIZB0002"/>
    <x v="70"/>
    <x v="1"/>
    <x v="0"/>
    <n v="65"/>
    <s v="Roch Cousineau"/>
    <n v="7"/>
    <n v="0.67084424935992182"/>
    <n v="454.3291557506401"/>
  </r>
  <r>
    <s v="PBOR00630"/>
    <s v="PIZB0003"/>
    <x v="64"/>
    <x v="2"/>
    <x v="0"/>
    <n v="250"/>
    <s v="Adrien Martin"/>
    <n v="2"/>
    <n v="8.5285813531694177E-2"/>
    <n v="499.9147141864683"/>
  </r>
  <r>
    <s v="PBOR00631"/>
    <s v="PIZB0004"/>
    <x v="37"/>
    <x v="3"/>
    <x v="0"/>
    <n v="130"/>
    <s v="Albain Forestier"/>
    <n v="3"/>
    <n v="0.84103230128030237"/>
    <n v="389.15896769871972"/>
  </r>
  <r>
    <s v="PBOR00632"/>
    <s v="PIZB0005"/>
    <x v="54"/>
    <x v="4"/>
    <x v="1"/>
    <n v="60"/>
    <s v="Roch Cousineau"/>
    <n v="4"/>
    <n v="0.96228083684908705"/>
    <n v="239.03771916315091"/>
  </r>
  <r>
    <s v="PBOR00633"/>
    <s v="PIZB0006"/>
    <x v="40"/>
    <x v="5"/>
    <x v="0"/>
    <n v="95"/>
    <s v="Adrien Martin"/>
    <n v="4"/>
    <n v="2.7821119697771235E-2"/>
    <n v="379.97217888030224"/>
  </r>
  <r>
    <s v="PBOR00634"/>
    <s v="PIZB0001"/>
    <x v="43"/>
    <x v="0"/>
    <x v="0"/>
    <n v="72"/>
    <s v="Albain Forestier"/>
    <n v="8"/>
    <n v="0.76145466415309182"/>
    <n v="575.23854533584688"/>
  </r>
  <r>
    <s v="PBOR00635"/>
    <s v="PIZB0002"/>
    <x v="50"/>
    <x v="1"/>
    <x v="0"/>
    <n v="65"/>
    <s v="Roch Cousineau"/>
    <n v="12"/>
    <n v="0.77506210792293639"/>
    <n v="779.22493789207704"/>
  </r>
  <r>
    <s v="PBOR00636"/>
    <s v="PIZB0003"/>
    <x v="21"/>
    <x v="2"/>
    <x v="1"/>
    <n v="250"/>
    <s v="Adrien Martin"/>
    <n v="3"/>
    <n v="0.23095633684482164"/>
    <n v="749.76904366315523"/>
  </r>
  <r>
    <s v="PBOR00637"/>
    <s v="PIZB0004"/>
    <x v="80"/>
    <x v="3"/>
    <x v="1"/>
    <n v="130"/>
    <s v="Albain Forestier"/>
    <n v="2"/>
    <n v="0.41385297051969594"/>
    <n v="259.58614702948029"/>
  </r>
  <r>
    <s v="PBOR00638"/>
    <s v="PIZB0001"/>
    <x v="17"/>
    <x v="0"/>
    <x v="1"/>
    <n v="72"/>
    <s v="Roch Cousineau"/>
    <n v="10"/>
    <n v="0.2691785271621443"/>
    <n v="719.73082147283787"/>
  </r>
  <r>
    <s v="PBOR00639"/>
    <s v="PIZB0002"/>
    <x v="48"/>
    <x v="1"/>
    <x v="1"/>
    <n v="65"/>
    <s v="Adrien Martin"/>
    <n v="9"/>
    <n v="0.94169653170684231"/>
    <n v="584.05830346829316"/>
  </r>
  <r>
    <s v="PBOR00640"/>
    <s v="PIZB0003"/>
    <x v="77"/>
    <x v="2"/>
    <x v="1"/>
    <n v="250"/>
    <s v="Albain Forestier"/>
    <n v="2"/>
    <n v="0.11005825523391977"/>
    <n v="499.88994174476608"/>
  </r>
  <r>
    <s v="PBOR00641"/>
    <s v="PIZB0004"/>
    <x v="40"/>
    <x v="3"/>
    <x v="1"/>
    <n v="130"/>
    <s v="Roch Cousineau"/>
    <n v="3"/>
    <n v="0.68990754236165941"/>
    <n v="389.31009245763835"/>
  </r>
  <r>
    <s v="PBOR00642"/>
    <s v="PIZB0001"/>
    <x v="46"/>
    <x v="0"/>
    <x v="0"/>
    <n v="72"/>
    <s v="Roch Cousineau"/>
    <n v="9"/>
    <n v="0.56230859564181912"/>
    <n v="647.43769140435813"/>
  </r>
  <r>
    <s v="PBOR00643"/>
    <s v="PIZB0002"/>
    <x v="26"/>
    <x v="1"/>
    <x v="1"/>
    <n v="65"/>
    <s v="Adrien Martin"/>
    <n v="6"/>
    <n v="0.37625640322518716"/>
    <n v="389.62374359677483"/>
  </r>
  <r>
    <s v="PBOR00644"/>
    <s v="PIZB0003"/>
    <x v="67"/>
    <x v="2"/>
    <x v="0"/>
    <n v="250"/>
    <s v="Albain Forestier"/>
    <n v="3"/>
    <n v="0.72947961633606273"/>
    <n v="749.27052038366389"/>
  </r>
  <r>
    <s v="PBOR00645"/>
    <s v="PIZB0004"/>
    <x v="29"/>
    <x v="3"/>
    <x v="1"/>
    <n v="130"/>
    <s v="Roch Cousineau"/>
    <n v="3"/>
    <n v="0.76111848489568046"/>
    <n v="389.23888151510431"/>
  </r>
  <r>
    <s v="PBOR00646"/>
    <s v="PIZB0001"/>
    <x v="58"/>
    <x v="0"/>
    <x v="0"/>
    <n v="72"/>
    <s v="Adrien Martin"/>
    <n v="11"/>
    <n v="6.4232748645964066E-2"/>
    <n v="791.93576725135404"/>
  </r>
  <r>
    <s v="PBOR00647"/>
    <s v="PIZB0002"/>
    <x v="48"/>
    <x v="1"/>
    <x v="1"/>
    <n v="65"/>
    <s v="Albain Forestier"/>
    <n v="13"/>
    <n v="0.69555531321006969"/>
    <n v="844.30444468678991"/>
  </r>
  <r>
    <s v="PBOR00648"/>
    <s v="PIZB0003"/>
    <x v="44"/>
    <x v="2"/>
    <x v="0"/>
    <n v="250"/>
    <s v="Roch Cousineau"/>
    <n v="3"/>
    <n v="0.48005553619906038"/>
    <n v="749.51994446380093"/>
  </r>
  <r>
    <s v="PBOR00649"/>
    <s v="PIZB0004"/>
    <x v="81"/>
    <x v="3"/>
    <x v="1"/>
    <n v="130"/>
    <s v="Adrien Martin"/>
    <n v="3"/>
    <n v="0.30562362813109178"/>
    <n v="389.69437637186888"/>
  </r>
  <r>
    <s v="PBOR00650"/>
    <s v="PIZB0005"/>
    <x v="71"/>
    <x v="4"/>
    <x v="0"/>
    <n v="60"/>
    <s v="Albain Forestier"/>
    <n v="6"/>
    <n v="0.53502887681097988"/>
    <n v="359.464971123189"/>
  </r>
  <r>
    <s v="PBOR00651"/>
    <s v="PIZB0001"/>
    <x v="70"/>
    <x v="0"/>
    <x v="1"/>
    <n v="72"/>
    <s v="Roch Cousineau"/>
    <n v="6"/>
    <n v="0.19822865070800033"/>
    <n v="431.80177134929198"/>
  </r>
  <r>
    <s v="PBOR00652"/>
    <s v="PIZB0002"/>
    <x v="70"/>
    <x v="1"/>
    <x v="0"/>
    <n v="65"/>
    <s v="Adrien Martin"/>
    <n v="5"/>
    <n v="8.6239241752357754E-2"/>
    <n v="324.91376075824763"/>
  </r>
  <r>
    <s v="PBOR00653"/>
    <s v="PIZB0003"/>
    <x v="73"/>
    <x v="2"/>
    <x v="1"/>
    <n v="250"/>
    <s v="Albain Forestier"/>
    <n v="3"/>
    <n v="0.51898487464864262"/>
    <n v="749.48101512535141"/>
  </r>
  <r>
    <s v="PBOR00654"/>
    <s v="PIZB0004"/>
    <x v="81"/>
    <x v="3"/>
    <x v="0"/>
    <n v="130"/>
    <s v="Roch Cousineau"/>
    <n v="6"/>
    <n v="8.3115987378729272E-2"/>
    <n v="779.91688401262127"/>
  </r>
  <r>
    <s v="PBOR00655"/>
    <s v="PIZB0001"/>
    <x v="29"/>
    <x v="0"/>
    <x v="1"/>
    <n v="72"/>
    <s v="Adrien Martin"/>
    <n v="5"/>
    <n v="0.7867280607336512"/>
    <n v="359.21327193926635"/>
  </r>
  <r>
    <s v="PBOR00656"/>
    <s v="PIZB0002"/>
    <x v="43"/>
    <x v="1"/>
    <x v="0"/>
    <n v="65"/>
    <s v="Albain Forestier"/>
    <n v="10"/>
    <n v="0.84959977686224775"/>
    <n v="649.15040022313781"/>
  </r>
  <r>
    <s v="PBOR00657"/>
    <s v="PIZB0003"/>
    <x v="40"/>
    <x v="2"/>
    <x v="1"/>
    <n v="250"/>
    <s v="Roch Cousineau"/>
    <n v="2"/>
    <n v="0.44314084778102836"/>
    <n v="499.55685915221898"/>
  </r>
  <r>
    <s v="PBOR00658"/>
    <s v="PIZB0004"/>
    <x v="78"/>
    <x v="3"/>
    <x v="0"/>
    <n v="130"/>
    <s v="Adrien Martin"/>
    <n v="2"/>
    <n v="0.3563554069581929"/>
    <n v="259.64364459304181"/>
  </r>
  <r>
    <s v="PBOR00659"/>
    <s v="PIZB0005"/>
    <x v="43"/>
    <x v="4"/>
    <x v="0"/>
    <n v="60"/>
    <s v="Albain Forestier"/>
    <n v="10"/>
    <n v="0.92917652763969694"/>
    <n v="599.0708234723603"/>
  </r>
  <r>
    <s v="PBOR00660"/>
    <s v="PIZB0006"/>
    <x v="48"/>
    <x v="5"/>
    <x v="1"/>
    <n v="95"/>
    <s v="Roch Cousineau"/>
    <n v="3"/>
    <n v="0.10973505695870678"/>
    <n v="284.8902649430413"/>
  </r>
  <r>
    <s v="PBOR00661"/>
    <s v="PIZB0001"/>
    <x v="42"/>
    <x v="0"/>
    <x v="1"/>
    <n v="72"/>
    <s v="Adrien Martin"/>
    <n v="6"/>
    <n v="0.85084152142646674"/>
    <n v="431.14915847857355"/>
  </r>
  <r>
    <s v="PBOR00662"/>
    <s v="PIZB0002"/>
    <x v="59"/>
    <x v="1"/>
    <x v="1"/>
    <n v="65"/>
    <s v="Albain Forestier"/>
    <n v="8"/>
    <n v="0.953643456629369"/>
    <n v="519.04635654337062"/>
  </r>
  <r>
    <s v="PBOR00663"/>
    <s v="PIZB0003"/>
    <x v="61"/>
    <x v="2"/>
    <x v="0"/>
    <n v="250"/>
    <s v="Roch Cousineau"/>
    <n v="2"/>
    <n v="0.34898009548757025"/>
    <n v="499.65101990451245"/>
  </r>
  <r>
    <s v="PBOR00664"/>
    <s v="PIZB0004"/>
    <x v="77"/>
    <x v="3"/>
    <x v="0"/>
    <n v="130"/>
    <s v="Adrien Martin"/>
    <n v="2"/>
    <n v="0.90707246799721031"/>
    <n v="259.09292753200276"/>
  </r>
  <r>
    <s v="PBOR00665"/>
    <s v="PIZB0001"/>
    <x v="69"/>
    <x v="0"/>
    <x v="0"/>
    <n v="72"/>
    <s v="Albain Forestier"/>
    <n v="9"/>
    <n v="0.69251639925430697"/>
    <n v="647.30748360074574"/>
  </r>
  <r>
    <s v="PBOR00666"/>
    <s v="PIZB0002"/>
    <x v="19"/>
    <x v="1"/>
    <x v="0"/>
    <n v="65"/>
    <s v="Roch Cousineau"/>
    <n v="4"/>
    <n v="0.72689686804999243"/>
    <n v="259.27310313194999"/>
  </r>
  <r>
    <s v="PBOR00667"/>
    <s v="PIZB0003"/>
    <x v="46"/>
    <x v="2"/>
    <x v="0"/>
    <n v="250"/>
    <s v="Adrien Martin"/>
    <n v="1"/>
    <n v="0.71073441775413981"/>
    <n v="249.28926558224586"/>
  </r>
  <r>
    <s v="PBOR00668"/>
    <s v="PIZB0004"/>
    <x v="69"/>
    <x v="3"/>
    <x v="0"/>
    <n v="130"/>
    <s v="Albain Forestier"/>
    <n v="5"/>
    <n v="0.72961165220779378"/>
    <n v="649.27038834779216"/>
  </r>
  <r>
    <s v="PBOR00669"/>
    <s v="PIZB0005"/>
    <x v="54"/>
    <x v="4"/>
    <x v="0"/>
    <n v="60"/>
    <s v="Roch Cousineau"/>
    <n v="12"/>
    <n v="4.824633256253863E-2"/>
    <n v="719.95175366743752"/>
  </r>
  <r>
    <s v="PBOR00670"/>
    <s v="PIZB0001"/>
    <x v="71"/>
    <x v="0"/>
    <x v="0"/>
    <n v="72"/>
    <s v="Adrien Martin"/>
    <n v="6"/>
    <n v="0.52707178801813181"/>
    <n v="431.47292821198187"/>
  </r>
  <r>
    <s v="PBOR00671"/>
    <s v="PIZB0002"/>
    <x v="48"/>
    <x v="1"/>
    <x v="0"/>
    <n v="65"/>
    <s v="Albain Forestier"/>
    <n v="6"/>
    <n v="0.78170661578259737"/>
    <n v="389.21829338421742"/>
  </r>
  <r>
    <s v="PBOR00672"/>
    <s v="PIZB0003"/>
    <x v="37"/>
    <x v="2"/>
    <x v="1"/>
    <n v="250"/>
    <s v="Roch Cousineau"/>
    <n v="2"/>
    <n v="0.77080464176942254"/>
    <n v="499.22919535823058"/>
  </r>
  <r>
    <s v="PBOR00673"/>
    <s v="PIZB0004"/>
    <x v="49"/>
    <x v="3"/>
    <x v="0"/>
    <n v="130"/>
    <s v="Adrien Martin"/>
    <n v="4"/>
    <n v="0.71594620100842021"/>
    <n v="519.28405379899164"/>
  </r>
  <r>
    <s v="PBOR00674"/>
    <s v="PIZB0001"/>
    <x v="50"/>
    <x v="0"/>
    <x v="0"/>
    <n v="72"/>
    <s v="Albain Forestier"/>
    <n v="10"/>
    <n v="0.27500773764321718"/>
    <n v="719.72499226235675"/>
  </r>
  <r>
    <s v="PBOR00675"/>
    <s v="PIZB0002"/>
    <x v="67"/>
    <x v="1"/>
    <x v="0"/>
    <n v="65"/>
    <s v="Roch Cousineau"/>
    <n v="8"/>
    <n v="0.44941323693027735"/>
    <n v="519.55058676306976"/>
  </r>
  <r>
    <s v="PBOR00676"/>
    <s v="PIZB0003"/>
    <x v="68"/>
    <x v="2"/>
    <x v="0"/>
    <n v="250"/>
    <s v="Adrien Martin"/>
    <n v="2"/>
    <n v="0.54319969713190985"/>
    <n v="499.45680030286809"/>
  </r>
  <r>
    <s v="PBOR00677"/>
    <s v="PIZB0004"/>
    <x v="68"/>
    <x v="3"/>
    <x v="0"/>
    <n v="130"/>
    <s v="Albain Forestier"/>
    <n v="2"/>
    <n v="0.98489015743540032"/>
    <n v="259.01510984256458"/>
  </r>
  <r>
    <s v="PBOR00678"/>
    <s v="PIZB0005"/>
    <x v="47"/>
    <x v="4"/>
    <x v="1"/>
    <n v="60"/>
    <s v="Roch Cousineau"/>
    <n v="14"/>
    <n v="0.73511109448100398"/>
    <n v="839.264888905519"/>
  </r>
  <r>
    <s v="PBOR00679"/>
    <s v="PIZB0006"/>
    <x v="69"/>
    <x v="5"/>
    <x v="0"/>
    <n v="95"/>
    <s v="Adrien Martin"/>
    <n v="3"/>
    <n v="0.41294651113400083"/>
    <n v="284.58705348886599"/>
  </r>
  <r>
    <s v="PBOR00680"/>
    <s v="PIZB0001"/>
    <x v="77"/>
    <x v="0"/>
    <x v="0"/>
    <n v="72"/>
    <s v="Albain Forestier"/>
    <n v="6"/>
    <n v="0.38264542002617896"/>
    <n v="431.61735457997383"/>
  </r>
  <r>
    <s v="PBOR00681"/>
    <s v="PIZB0002"/>
    <x v="41"/>
    <x v="1"/>
    <x v="0"/>
    <n v="65"/>
    <s v="Roch Cousineau"/>
    <n v="12"/>
    <n v="0.41120334900493605"/>
    <n v="779.58879665099505"/>
  </r>
  <r>
    <s v="PBOR00682"/>
    <s v="PIZB0003"/>
    <x v="69"/>
    <x v="2"/>
    <x v="1"/>
    <n v="250"/>
    <s v="Adrien Martin"/>
    <n v="2"/>
    <n v="0.91501663280594026"/>
    <n v="499.08498336719407"/>
  </r>
  <r>
    <s v="PBOR00683"/>
    <s v="PIZB0004"/>
    <x v="63"/>
    <x v="3"/>
    <x v="1"/>
    <n v="130"/>
    <s v="Albain Forestier"/>
    <n v="2"/>
    <n v="0.69466365448955392"/>
    <n v="259.30533634551045"/>
  </r>
  <r>
    <s v="PBOR00684"/>
    <s v="PIZB0001"/>
    <x v="41"/>
    <x v="0"/>
    <x v="1"/>
    <n v="72"/>
    <s v="Roch Cousineau"/>
    <n v="8"/>
    <n v="0.38950090298836892"/>
    <n v="575.6104990970116"/>
  </r>
  <r>
    <s v="PBOR00685"/>
    <s v="PIZB0002"/>
    <x v="45"/>
    <x v="1"/>
    <x v="1"/>
    <n v="65"/>
    <s v="Adrien Martin"/>
    <n v="10"/>
    <n v="0.61437413832646293"/>
    <n v="649.38562586167359"/>
  </r>
  <r>
    <s v="PBOR00686"/>
    <s v="PIZB0003"/>
    <x v="57"/>
    <x v="2"/>
    <x v="1"/>
    <n v="250"/>
    <s v="Albain Forestier"/>
    <n v="3"/>
    <n v="0.11215385704719139"/>
    <n v="749.88784614295275"/>
  </r>
  <r>
    <s v="PBOR00687"/>
    <s v="PIZB0004"/>
    <x v="64"/>
    <x v="3"/>
    <x v="1"/>
    <n v="130"/>
    <s v="Roch Cousineau"/>
    <n v="7"/>
    <n v="0.51279531771446818"/>
    <n v="909.48720468228555"/>
  </r>
  <r>
    <s v="PBOR00688"/>
    <s v="PIZB0001"/>
    <x v="33"/>
    <x v="0"/>
    <x v="0"/>
    <n v="72"/>
    <s v="Roch Cousineau"/>
    <n v="10"/>
    <n v="0.51208229583366227"/>
    <n v="719.48791770416631"/>
  </r>
  <r>
    <s v="PBOR00689"/>
    <s v="PIZB0002"/>
    <x v="40"/>
    <x v="1"/>
    <x v="1"/>
    <n v="65"/>
    <s v="Adrien Martin"/>
    <n v="13"/>
    <n v="4.2333766178461185E-2"/>
    <n v="844.95766623382156"/>
  </r>
  <r>
    <s v="PBOR00690"/>
    <s v="PIZB0003"/>
    <x v="70"/>
    <x v="2"/>
    <x v="0"/>
    <n v="250"/>
    <s v="Albain Forestier"/>
    <n v="1"/>
    <n v="6.8242789163104556E-2"/>
    <n v="249.93175721083691"/>
  </r>
  <r>
    <s v="PBOR00691"/>
    <s v="PIZB0004"/>
    <x v="55"/>
    <x v="3"/>
    <x v="1"/>
    <n v="130"/>
    <s v="Roch Cousineau"/>
    <n v="2"/>
    <n v="0.59344372118167121"/>
    <n v="259.40655627881836"/>
  </r>
  <r>
    <s v="PBOR00692"/>
    <s v="PIZB0001"/>
    <x v="48"/>
    <x v="0"/>
    <x v="0"/>
    <n v="72"/>
    <s v="Adrien Martin"/>
    <n v="10"/>
    <n v="0.82127123602690877"/>
    <n v="719.17872876397314"/>
  </r>
  <r>
    <s v="PBOR00693"/>
    <s v="PIZB0002"/>
    <x v="78"/>
    <x v="1"/>
    <x v="1"/>
    <n v="65"/>
    <s v="Albain Forestier"/>
    <n v="4"/>
    <n v="0.75534605499145235"/>
    <n v="259.24465394500857"/>
  </r>
  <r>
    <s v="PBOR00694"/>
    <s v="PIZB0003"/>
    <x v="65"/>
    <x v="2"/>
    <x v="0"/>
    <n v="250"/>
    <s v="Roch Cousineau"/>
    <n v="3"/>
    <n v="0.46402303954789503"/>
    <n v="749.5359769604521"/>
  </r>
  <r>
    <s v="PBOR00695"/>
    <s v="PIZB0004"/>
    <x v="80"/>
    <x v="3"/>
    <x v="1"/>
    <n v="130"/>
    <s v="Adrien Martin"/>
    <n v="4"/>
    <n v="0.15474282620493907"/>
    <n v="519.84525717379506"/>
  </r>
  <r>
    <s v="PBOR00696"/>
    <s v="PIZB0005"/>
    <x v="42"/>
    <x v="4"/>
    <x v="0"/>
    <n v="60"/>
    <s v="Albain Forestier"/>
    <n v="13"/>
    <n v="0.66533556336609889"/>
    <n v="779.33466443663394"/>
  </r>
  <r>
    <s v="PBOR00697"/>
    <s v="PIZB0001"/>
    <x v="21"/>
    <x v="0"/>
    <x v="1"/>
    <n v="72"/>
    <s v="Roch Cousineau"/>
    <n v="3"/>
    <n v="0.97251255932489955"/>
    <n v="215.02748744067509"/>
  </r>
  <r>
    <s v="PBOR00698"/>
    <s v="PIZB0002"/>
    <x v="30"/>
    <x v="1"/>
    <x v="0"/>
    <n v="65"/>
    <s v="Adrien Martin"/>
    <n v="9"/>
    <n v="0.69535696846352257"/>
    <n v="584.30464303153644"/>
  </r>
  <r>
    <s v="PBOR00699"/>
    <s v="PIZB0003"/>
    <x v="17"/>
    <x v="2"/>
    <x v="1"/>
    <n v="250"/>
    <s v="Albain Forestier"/>
    <n v="3"/>
    <n v="0.66227327719395612"/>
    <n v="749.337726722806"/>
  </r>
  <r>
    <s v="PBOR00700"/>
    <s v="PIZB0004"/>
    <x v="48"/>
    <x v="3"/>
    <x v="0"/>
    <n v="130"/>
    <s v="Roch Cousineau"/>
    <n v="5"/>
    <n v="0.78574434258554782"/>
    <n v="649.21425565741447"/>
  </r>
  <r>
    <s v="PBOR00701"/>
    <s v="PIZB0001"/>
    <x v="17"/>
    <x v="0"/>
    <x v="1"/>
    <n v="72"/>
    <s v="Adrien Martin"/>
    <n v="9"/>
    <n v="0.22096883522065214"/>
    <n v="647.77903116477933"/>
  </r>
  <r>
    <s v="PBOR00702"/>
    <s v="PIZB0002"/>
    <x v="75"/>
    <x v="1"/>
    <x v="0"/>
    <n v="65"/>
    <s v="Albain Forestier"/>
    <n v="7"/>
    <n v="0.3762244679753074"/>
    <n v="454.62377553202469"/>
  </r>
  <r>
    <s v="PBOR00703"/>
    <s v="PIZB0003"/>
    <x v="44"/>
    <x v="2"/>
    <x v="1"/>
    <n v="250"/>
    <s v="Roch Cousineau"/>
    <n v="2"/>
    <n v="0.92213004137334853"/>
    <n v="499.07786995862665"/>
  </r>
  <r>
    <s v="PBOR00704"/>
    <s v="PIZB0004"/>
    <x v="41"/>
    <x v="3"/>
    <x v="0"/>
    <n v="130"/>
    <s v="Adrien Martin"/>
    <n v="7"/>
    <n v="0.78763659977080303"/>
    <n v="909.21236340022915"/>
  </r>
  <r>
    <s v="PBOR00705"/>
    <s v="PIZB0005"/>
    <x v="37"/>
    <x v="4"/>
    <x v="0"/>
    <n v="60"/>
    <s v="Albain Forestier"/>
    <n v="8"/>
    <n v="0.52144444859240835"/>
    <n v="479.47855555140757"/>
  </r>
  <r>
    <s v="PBOR00706"/>
    <s v="PIZB0006"/>
    <x v="65"/>
    <x v="5"/>
    <x v="1"/>
    <n v="95"/>
    <s v="Roch Cousineau"/>
    <n v="2"/>
    <n v="0.56841779736604148"/>
    <n v="189.43158220263396"/>
  </r>
  <r>
    <s v="PBOR00707"/>
    <s v="PIZB0001"/>
    <x v="40"/>
    <x v="0"/>
    <x v="1"/>
    <n v="72"/>
    <s v="Adrien Martin"/>
    <n v="5"/>
    <n v="0.72559447701706969"/>
    <n v="359.27440552298293"/>
  </r>
  <r>
    <s v="PBOR00708"/>
    <s v="PIZB0002"/>
    <x v="26"/>
    <x v="1"/>
    <x v="1"/>
    <n v="65"/>
    <s v="Albain Forestier"/>
    <n v="13"/>
    <n v="0.84639274345789639"/>
    <n v="844.15360725654216"/>
  </r>
  <r>
    <s v="PBOR00709"/>
    <s v="PIZB0003"/>
    <x v="46"/>
    <x v="2"/>
    <x v="0"/>
    <n v="250"/>
    <s v="Roch Cousineau"/>
    <n v="3"/>
    <n v="0.98249564369623155"/>
    <n v="749.01750435630379"/>
  </r>
  <r>
    <s v="PBOR00710"/>
    <s v="PIZB0004"/>
    <x v="82"/>
    <x v="3"/>
    <x v="0"/>
    <n v="130"/>
    <s v="Adrien Martin"/>
    <n v="2"/>
    <n v="0.87916124500534887"/>
    <n v="259.12083875499468"/>
  </r>
  <r>
    <s v="PBOR00711"/>
    <s v="PIZB0001"/>
    <x v="56"/>
    <x v="0"/>
    <x v="0"/>
    <n v="72"/>
    <s v="Albain Forestier"/>
    <n v="5"/>
    <n v="0.48067058153434095"/>
    <n v="359.51932941846565"/>
  </r>
  <r>
    <s v="PBOR00712"/>
    <s v="PIZB0002"/>
    <x v="62"/>
    <x v="1"/>
    <x v="0"/>
    <n v="65"/>
    <s v="Roch Cousineau"/>
    <n v="6"/>
    <n v="0.98322064800948905"/>
    <n v="389.01677935199052"/>
  </r>
  <r>
    <s v="PBOR00713"/>
    <s v="PIZB0003"/>
    <x v="74"/>
    <x v="2"/>
    <x v="0"/>
    <n v="250"/>
    <s v="Adrien Martin"/>
    <n v="1"/>
    <n v="8.3438123642337159E-2"/>
    <n v="249.91656187635766"/>
  </r>
  <r>
    <s v="PBOR00714"/>
    <s v="PIZB0004"/>
    <x v="26"/>
    <x v="3"/>
    <x v="0"/>
    <n v="130"/>
    <s v="Albain Forestier"/>
    <n v="4"/>
    <n v="0.61333745759798031"/>
    <n v="519.38666254240206"/>
  </r>
  <r>
    <s v="PBOR00715"/>
    <s v="PIZB0005"/>
    <x v="43"/>
    <x v="4"/>
    <x v="0"/>
    <n v="60"/>
    <s v="Roch Cousineau"/>
    <n v="7"/>
    <n v="0.89655363540119404"/>
    <n v="419.10344636459882"/>
  </r>
  <r>
    <s v="PBOR00716"/>
    <s v="PIZB0001"/>
    <x v="57"/>
    <x v="0"/>
    <x v="0"/>
    <n v="72"/>
    <s v="Adrien Martin"/>
    <n v="6"/>
    <n v="0.35355788677438427"/>
    <n v="431.64644211322559"/>
  </r>
  <r>
    <s v="PBOR00717"/>
    <s v="PIZB0002"/>
    <x v="40"/>
    <x v="1"/>
    <x v="0"/>
    <n v="65"/>
    <s v="Albain Forestier"/>
    <n v="11"/>
    <n v="0.69645709438310022"/>
    <n v="714.30354290561695"/>
  </r>
  <r>
    <s v="PBOR00718"/>
    <s v="PIZB0003"/>
    <x v="32"/>
    <x v="2"/>
    <x v="1"/>
    <n v="250"/>
    <s v="Roch Cousineau"/>
    <n v="1"/>
    <n v="0.37611685390393312"/>
    <n v="249.62388314609606"/>
  </r>
  <r>
    <s v="PBOR00719"/>
    <s v="PIZB0004"/>
    <x v="33"/>
    <x v="3"/>
    <x v="0"/>
    <n v="130"/>
    <s v="Adrien Martin"/>
    <n v="2"/>
    <n v="0.86356536238008619"/>
    <n v="259.13643463761991"/>
  </r>
  <r>
    <s v="PBOR00720"/>
    <s v="PIZB0001"/>
    <x v="49"/>
    <x v="0"/>
    <x v="0"/>
    <n v="72"/>
    <s v="Albain Forestier"/>
    <n v="12"/>
    <n v="0.50398844588808822"/>
    <n v="863.49601155411187"/>
  </r>
  <r>
    <s v="PBOR00721"/>
    <s v="PIZB0002"/>
    <x v="33"/>
    <x v="1"/>
    <x v="0"/>
    <n v="65"/>
    <s v="Roch Cousineau"/>
    <n v="9"/>
    <n v="0.53149790736894065"/>
    <n v="584.46850209263107"/>
  </r>
  <r>
    <s v="PBOR00722"/>
    <s v="PIZB0003"/>
    <x v="79"/>
    <x v="2"/>
    <x v="0"/>
    <n v="250"/>
    <s v="Adrien Martin"/>
    <n v="2"/>
    <n v="0.18594895905764286"/>
    <n v="499.81405104094233"/>
  </r>
  <r>
    <s v="PBOR00723"/>
    <s v="PIZB0004"/>
    <x v="82"/>
    <x v="3"/>
    <x v="0"/>
    <n v="130"/>
    <s v="Albain Forestier"/>
    <n v="2"/>
    <n v="8.1219913484181339E-2"/>
    <n v="259.91878008651582"/>
  </r>
  <r>
    <s v="PBOR00724"/>
    <s v="PIZB0005"/>
    <x v="42"/>
    <x v="4"/>
    <x v="1"/>
    <n v="60"/>
    <s v="Roch Cousineau"/>
    <n v="12"/>
    <n v="0.12971302914017036"/>
    <n v="719.87028697085987"/>
  </r>
  <r>
    <s v="PBOR00725"/>
    <s v="PIZB0006"/>
    <x v="58"/>
    <x v="5"/>
    <x v="0"/>
    <n v="95"/>
    <s v="Adrien Martin"/>
    <n v="5"/>
    <n v="0.81218541211415785"/>
    <n v="474.18781458788584"/>
  </r>
  <r>
    <s v="PBOR00726"/>
    <s v="PIZB0001"/>
    <x v="63"/>
    <x v="0"/>
    <x v="0"/>
    <n v="72"/>
    <s v="Albain Forestier"/>
    <n v="8"/>
    <n v="0.46600089084205576"/>
    <n v="575.53399910915789"/>
  </r>
  <r>
    <s v="PBOR00727"/>
    <s v="PIZB0002"/>
    <x v="72"/>
    <x v="1"/>
    <x v="0"/>
    <n v="65"/>
    <s v="Roch Cousineau"/>
    <n v="4"/>
    <n v="0.78079521938150631"/>
    <n v="259.2192047806185"/>
  </r>
  <r>
    <s v="PBOR00728"/>
    <s v="PIZB0003"/>
    <x v="79"/>
    <x v="2"/>
    <x v="1"/>
    <n v="250"/>
    <s v="Adrien Martin"/>
    <n v="2"/>
    <n v="9.0576785974799789E-2"/>
    <n v="499.9094232140252"/>
  </r>
  <r>
    <s v="PBOR00729"/>
    <s v="PIZB0004"/>
    <x v="17"/>
    <x v="3"/>
    <x v="1"/>
    <n v="130"/>
    <s v="Albain Forestier"/>
    <n v="4"/>
    <n v="0.15961655418435072"/>
    <n v="519.84038344581563"/>
  </r>
  <r>
    <s v="PBOR00730"/>
    <s v="PIZB0001"/>
    <x v="52"/>
    <x v="0"/>
    <x v="1"/>
    <n v="72"/>
    <s v="Roch Cousineau"/>
    <n v="5"/>
    <n v="0.82453899607407644"/>
    <n v="359.17546100392593"/>
  </r>
  <r>
    <s v="PBOR00731"/>
    <s v="PIZB0002"/>
    <x v="74"/>
    <x v="1"/>
    <x v="1"/>
    <n v="65"/>
    <s v="Adrien Martin"/>
    <n v="10"/>
    <n v="0.81459317918406304"/>
    <n v="649.18540682081596"/>
  </r>
  <r>
    <s v="PBOR00732"/>
    <s v="PIZB0003"/>
    <x v="75"/>
    <x v="2"/>
    <x v="1"/>
    <n v="250"/>
    <s v="Albain Forestier"/>
    <n v="2"/>
    <n v="0.59855908209375142"/>
    <n v="499.40144091790626"/>
  </r>
  <r>
    <s v="PBOR00733"/>
    <s v="PIZB0004"/>
    <x v="57"/>
    <x v="3"/>
    <x v="1"/>
    <n v="130"/>
    <s v="Roch Cousineau"/>
    <n v="3"/>
    <n v="0.10604150767450615"/>
    <n v="389.89395849232551"/>
  </r>
  <r>
    <s v="PBOR00734"/>
    <s v="PIZB0001"/>
    <x v="38"/>
    <x v="0"/>
    <x v="1"/>
    <n v="72"/>
    <s v="Roch Cousineau"/>
    <n v="9"/>
    <n v="0.52355912049207709"/>
    <n v="647.47644087950789"/>
  </r>
  <r>
    <s v="PBOR00735"/>
    <s v="PIZB0002"/>
    <x v="53"/>
    <x v="1"/>
    <x v="0"/>
    <n v="65"/>
    <s v="Adrien Martin"/>
    <n v="11"/>
    <n v="0.72710842537983977"/>
    <n v="714.27289157462019"/>
  </r>
  <r>
    <s v="PBOR00736"/>
    <s v="PIZB0003"/>
    <x v="78"/>
    <x v="2"/>
    <x v="0"/>
    <n v="250"/>
    <s v="Albain Forestier"/>
    <n v="1"/>
    <n v="0.45740875407210257"/>
    <n v="249.54259124592789"/>
  </r>
  <r>
    <s v="PBOR00737"/>
    <s v="PIZB0004"/>
    <x v="82"/>
    <x v="3"/>
    <x v="0"/>
    <n v="130"/>
    <s v="Roch Cousineau"/>
    <n v="5"/>
    <n v="0.59952751820280803"/>
    <n v="649.40047248179724"/>
  </r>
  <r>
    <s v="PBOR00738"/>
    <s v="PIZB0001"/>
    <x v="61"/>
    <x v="0"/>
    <x v="1"/>
    <n v="72"/>
    <s v="Adrien Martin"/>
    <n v="11"/>
    <n v="6.1305406292533338E-4"/>
    <n v="791.99938694593709"/>
  </r>
  <r>
    <s v="PBOR00739"/>
    <s v="PIZB0002"/>
    <x v="21"/>
    <x v="1"/>
    <x v="1"/>
    <n v="65"/>
    <s v="Albain Forestier"/>
    <n v="10"/>
    <n v="0.16823687439374968"/>
    <n v="649.83176312560624"/>
  </r>
  <r>
    <s v="PBOR00740"/>
    <s v="PIZB0003"/>
    <x v="32"/>
    <x v="2"/>
    <x v="1"/>
    <n v="250"/>
    <s v="Roch Cousineau"/>
    <n v="2"/>
    <n v="0.49514023918034589"/>
    <n v="499.50485976081967"/>
  </r>
  <r>
    <s v="PBOR00741"/>
    <s v="PIZB0004"/>
    <x v="54"/>
    <x v="3"/>
    <x v="1"/>
    <n v="130"/>
    <s v="Adrien Martin"/>
    <n v="4"/>
    <n v="0.52051084892100097"/>
    <n v="519.47948915107895"/>
  </r>
  <r>
    <s v="PBOR00742"/>
    <s v="PIZB0005"/>
    <x v="70"/>
    <x v="4"/>
    <x v="1"/>
    <n v="60"/>
    <s v="Albain Forestier"/>
    <n v="4"/>
    <n v="0.82903944371112326"/>
    <n v="239.17096055628889"/>
  </r>
  <r>
    <s v="PBOR00743"/>
    <s v="PIZB0001"/>
    <x v="30"/>
    <x v="0"/>
    <x v="1"/>
    <n v="72"/>
    <s v="Roch Cousineau"/>
    <n v="12"/>
    <n v="0.26802230726119258"/>
    <n v="863.73197769273884"/>
  </r>
  <r>
    <s v="PBOR00744"/>
    <s v="PIZB0002"/>
    <x v="71"/>
    <x v="1"/>
    <x v="1"/>
    <n v="65"/>
    <s v="Adrien Martin"/>
    <n v="5"/>
    <n v="2.8528210689257594E-2"/>
    <n v="324.97147178931073"/>
  </r>
  <r>
    <s v="PBOR00745"/>
    <s v="PIZB0003"/>
    <x v="82"/>
    <x v="2"/>
    <x v="0"/>
    <n v="250"/>
    <s v="Albain Forestier"/>
    <n v="3"/>
    <n v="0.74514114454494507"/>
    <n v="749.25485885545504"/>
  </r>
  <r>
    <s v="PBOR00746"/>
    <s v="PIZB0004"/>
    <x v="67"/>
    <x v="3"/>
    <x v="0"/>
    <n v="130"/>
    <s v="Roch Cousineau"/>
    <n v="2"/>
    <n v="0.48479867607113558"/>
    <n v="259.51520132392886"/>
  </r>
  <r>
    <s v="PBOR00747"/>
    <s v="PIZB0001"/>
    <x v="43"/>
    <x v="0"/>
    <x v="0"/>
    <n v="72"/>
    <s v="Adrien Martin"/>
    <n v="7"/>
    <n v="0.76935950343016524"/>
    <n v="503.23064049656983"/>
  </r>
  <r>
    <s v="PBOR00748"/>
    <s v="PIZB0002"/>
    <x v="52"/>
    <x v="1"/>
    <x v="1"/>
    <n v="65"/>
    <s v="Albain Forestier"/>
    <n v="12"/>
    <n v="0.89331137072743827"/>
    <n v="779.10668862927253"/>
  </r>
  <r>
    <s v="PBOR00749"/>
    <s v="PIZB0003"/>
    <x v="41"/>
    <x v="2"/>
    <x v="1"/>
    <n v="250"/>
    <s v="Roch Cousineau"/>
    <n v="3"/>
    <n v="9.3614419970482143E-2"/>
    <n v="749.90638558002956"/>
  </r>
  <r>
    <s v="PBOR00750"/>
    <s v="PIZB0004"/>
    <x v="63"/>
    <x v="3"/>
    <x v="1"/>
    <n v="130"/>
    <s v="Adrien Martin"/>
    <n v="4"/>
    <n v="0.6003248392630619"/>
    <n v="519.39967516073693"/>
  </r>
  <r>
    <s v="PBOR00751"/>
    <s v="PIZB0005"/>
    <x v="63"/>
    <x v="4"/>
    <x v="1"/>
    <n v="60"/>
    <s v="Albain Forestier"/>
    <n v="8"/>
    <n v="0.3340732603324017"/>
    <n v="479.66592673966761"/>
  </r>
  <r>
    <s v="PBOR00752"/>
    <s v="PIZB0006"/>
    <x v="74"/>
    <x v="5"/>
    <x v="1"/>
    <n v="95"/>
    <s v="Roch Cousineau"/>
    <n v="3"/>
    <n v="0.66113465781146252"/>
    <n v="284.33886534218851"/>
  </r>
  <r>
    <s v="PBOR00753"/>
    <s v="PIZB0001"/>
    <x v="80"/>
    <x v="0"/>
    <x v="1"/>
    <n v="72"/>
    <s v="Adrien Martin"/>
    <n v="8"/>
    <n v="0.64529055219709897"/>
    <n v="575.35470944780286"/>
  </r>
  <r>
    <s v="PBOR00754"/>
    <s v="PIZB0002"/>
    <x v="37"/>
    <x v="1"/>
    <x v="1"/>
    <n v="65"/>
    <s v="Albain Forestier"/>
    <n v="12"/>
    <n v="0.56469486543574665"/>
    <n v="779.43530513456426"/>
  </r>
  <r>
    <s v="PBOR00755"/>
    <s v="PIZB0003"/>
    <x v="58"/>
    <x v="2"/>
    <x v="0"/>
    <n v="250"/>
    <s v="Roch Cousineau"/>
    <n v="3"/>
    <n v="0.6225845953426189"/>
    <n v="749.37741540465743"/>
  </r>
  <r>
    <s v="PBOR00756"/>
    <s v="PIZB0004"/>
    <x v="67"/>
    <x v="3"/>
    <x v="0"/>
    <n v="130"/>
    <s v="Adrien Martin"/>
    <n v="4"/>
    <n v="0.49978651650104577"/>
    <n v="519.50021348349901"/>
  </r>
  <r>
    <s v="PBOR00757"/>
    <s v="PIZB0001"/>
    <x v="45"/>
    <x v="0"/>
    <x v="0"/>
    <n v="72"/>
    <s v="Albain Forestier"/>
    <n v="11"/>
    <n v="0.24335712392424091"/>
    <n v="791.75664287607572"/>
  </r>
  <r>
    <s v="PBOR00758"/>
    <s v="PIZB0002"/>
    <x v="77"/>
    <x v="1"/>
    <x v="1"/>
    <n v="65"/>
    <s v="Roch Cousineau"/>
    <n v="9"/>
    <n v="0.5910679923601394"/>
    <n v="584.40893200763981"/>
  </r>
  <r>
    <s v="PBOR00759"/>
    <s v="PIZB0003"/>
    <x v="39"/>
    <x v="2"/>
    <x v="1"/>
    <n v="250"/>
    <s v="Adrien Martin"/>
    <n v="3"/>
    <n v="0.64702575367386794"/>
    <n v="749.35297424632608"/>
  </r>
  <r>
    <s v="PBOR00760"/>
    <s v="PIZB0004"/>
    <x v="17"/>
    <x v="3"/>
    <x v="1"/>
    <n v="130"/>
    <s v="Albain Forestier"/>
    <n v="3"/>
    <n v="0.32411173092516965"/>
    <n v="389.67588826907485"/>
  </r>
  <r>
    <s v="PBOR00761"/>
    <s v="PIZB0005"/>
    <x v="74"/>
    <x v="4"/>
    <x v="1"/>
    <n v="60"/>
    <s v="Roch Cousineau"/>
    <n v="13"/>
    <n v="0.519903991729183"/>
    <n v="779.48009600827083"/>
  </r>
  <r>
    <s v="PBOR00762"/>
    <s v="PIZB0001"/>
    <x v="26"/>
    <x v="0"/>
    <x v="1"/>
    <n v="72"/>
    <s v="Adrien Martin"/>
    <n v="12"/>
    <n v="0.24412074988177057"/>
    <n v="863.75587925011826"/>
  </r>
  <r>
    <s v="PBOR00763"/>
    <s v="PIZB0002"/>
    <x v="48"/>
    <x v="1"/>
    <x v="1"/>
    <n v="65"/>
    <s v="Albain Forestier"/>
    <n v="5"/>
    <n v="0.91369110865505665"/>
    <n v="324.08630889134497"/>
  </r>
  <r>
    <s v="PBOR00764"/>
    <s v="PIZB0003"/>
    <x v="58"/>
    <x v="2"/>
    <x v="0"/>
    <n v="250"/>
    <s v="Roch Cousineau"/>
    <n v="3"/>
    <n v="0.60545488734906905"/>
    <n v="749.39454511265092"/>
  </r>
  <r>
    <s v="PBOR00765"/>
    <s v="PIZB0004"/>
    <x v="74"/>
    <x v="3"/>
    <x v="1"/>
    <n v="130"/>
    <s v="Adrien Martin"/>
    <n v="5"/>
    <n v="0.95487437125189623"/>
    <n v="649.04512562874811"/>
  </r>
  <r>
    <s v="PBOR00766"/>
    <s v="PIZB0001"/>
    <x v="50"/>
    <x v="0"/>
    <x v="0"/>
    <n v="72"/>
    <s v="Albain Forestier"/>
    <n v="8"/>
    <n v="0.41031877905294611"/>
    <n v="575.589681220947"/>
  </r>
  <r>
    <s v="PBOR00767"/>
    <s v="PIZB0002"/>
    <x v="49"/>
    <x v="1"/>
    <x v="1"/>
    <n v="65"/>
    <s v="Roch Cousineau"/>
    <n v="4"/>
    <n v="0.25154122583403682"/>
    <n v="259.74845877416595"/>
  </r>
  <r>
    <s v="PBOR00768"/>
    <s v="PIZB0003"/>
    <x v="46"/>
    <x v="2"/>
    <x v="0"/>
    <n v="250"/>
    <s v="Adrien Martin"/>
    <n v="3"/>
    <n v="0.3335965689090451"/>
    <n v="749.666403431091"/>
  </r>
  <r>
    <s v="PBOR00769"/>
    <s v="PIZB0004"/>
    <x v="38"/>
    <x v="3"/>
    <x v="1"/>
    <n v="130"/>
    <s v="Albain Forestier"/>
    <n v="7"/>
    <n v="0.63336628379035731"/>
    <n v="909.36663371620966"/>
  </r>
  <r>
    <s v="PBOR00770"/>
    <s v="PIZB0005"/>
    <x v="80"/>
    <x v="4"/>
    <x v="0"/>
    <n v="60"/>
    <s v="Roch Cousineau"/>
    <n v="7"/>
    <n v="0.83277919846368176"/>
    <n v="419.1672208015363"/>
  </r>
  <r>
    <s v="PBOR00771"/>
    <s v="PIZB0006"/>
    <x v="42"/>
    <x v="5"/>
    <x v="1"/>
    <n v="95"/>
    <s v="Adrien Martin"/>
    <n v="7"/>
    <n v="0.69028591743793744"/>
    <n v="664.3097140825621"/>
  </r>
  <r>
    <s v="PBOR00772"/>
    <s v="PIZB0001"/>
    <x v="79"/>
    <x v="0"/>
    <x v="0"/>
    <n v="72"/>
    <s v="Albain Forestier"/>
    <n v="5"/>
    <n v="5.4669727726213924E-2"/>
    <n v="359.94533027227379"/>
  </r>
  <r>
    <s v="PBOR00773"/>
    <s v="PIZB0002"/>
    <x v="46"/>
    <x v="1"/>
    <x v="1"/>
    <n v="65"/>
    <s v="Roch Cousineau"/>
    <n v="6"/>
    <n v="0.94603240305049607"/>
    <n v="389.05396759694952"/>
  </r>
  <r>
    <s v="PBOR00774"/>
    <s v="PIZB0003"/>
    <x v="42"/>
    <x v="2"/>
    <x v="0"/>
    <n v="250"/>
    <s v="Adrien Martin"/>
    <n v="2"/>
    <n v="0.86773782595625026"/>
    <n v="499.13226217404377"/>
  </r>
  <r>
    <s v="PBOR00775"/>
    <s v="PIZB0004"/>
    <x v="47"/>
    <x v="3"/>
    <x v="1"/>
    <n v="130"/>
    <s v="Albain Forestier"/>
    <n v="2"/>
    <n v="0.40131872604147611"/>
    <n v="259.5986812739585"/>
  </r>
  <r>
    <s v="PBOR00776"/>
    <s v="PIZB0001"/>
    <x v="47"/>
    <x v="0"/>
    <x v="0"/>
    <n v="72"/>
    <s v="Roch Cousineau"/>
    <n v="4"/>
    <n v="0.26495479751441786"/>
    <n v="287.73504520248559"/>
  </r>
  <r>
    <s v="PBOR00777"/>
    <s v="PIZB0002"/>
    <x v="19"/>
    <x v="1"/>
    <x v="1"/>
    <n v="65"/>
    <s v="Adrien Martin"/>
    <n v="10"/>
    <n v="0.887321407634587"/>
    <n v="649.11267859236546"/>
  </r>
  <r>
    <s v="PBOR00778"/>
    <s v="PIZB0003"/>
    <x v="80"/>
    <x v="2"/>
    <x v="0"/>
    <n v="250"/>
    <s v="Albain Forestier"/>
    <n v="1"/>
    <n v="0.17048038429042245"/>
    <n v="249.82951961570959"/>
  </r>
  <r>
    <s v="PBOR00779"/>
    <s v="PIZB0004"/>
    <x v="54"/>
    <x v="0"/>
    <x v="1"/>
    <n v="72"/>
    <s v="Roch Cousineau"/>
    <n v="12"/>
    <n v="0.76998235996265474"/>
    <n v="863.23001764003732"/>
  </r>
  <r>
    <s v="PBOR00780"/>
    <s v="PIZB0001"/>
    <x v="43"/>
    <x v="1"/>
    <x v="0"/>
    <n v="65"/>
    <s v="Roch Cousineau"/>
    <n v="11"/>
    <n v="0.91856109533289065"/>
    <n v="714.08143890466715"/>
  </r>
  <r>
    <s v="PBOR00781"/>
    <s v="PIZB0002"/>
    <x v="81"/>
    <x v="2"/>
    <x v="1"/>
    <n v="250"/>
    <s v="Adrien Martin"/>
    <n v="2"/>
    <n v="1.1082493420652928E-2"/>
    <n v="499.98891750657936"/>
  </r>
  <r>
    <s v="PBOR00782"/>
    <s v="PIZB0003"/>
    <x v="48"/>
    <x v="3"/>
    <x v="1"/>
    <n v="130"/>
    <s v="Albain Forestier"/>
    <n v="7"/>
    <n v="0.39276956580728573"/>
    <n v="909.60723043419273"/>
  </r>
  <r>
    <s v="PBOR00783"/>
    <s v="PIZB0004"/>
    <x v="37"/>
    <x v="0"/>
    <x v="1"/>
    <n v="72"/>
    <s v="Roch Cousineau"/>
    <n v="6"/>
    <n v="0.49690512226856176"/>
    <n v="431.50309487773143"/>
  </r>
  <r>
    <s v="PBOR00784"/>
    <s v="PIZB0001"/>
    <x v="66"/>
    <x v="1"/>
    <x v="1"/>
    <n v="65"/>
    <s v="Adrien Martin"/>
    <n v="4"/>
    <n v="0.21994930156285275"/>
    <n v="259.78005069843715"/>
  </r>
  <r>
    <s v="PBOR00785"/>
    <s v="PIZB0002"/>
    <x v="63"/>
    <x v="2"/>
    <x v="1"/>
    <n v="250"/>
    <s v="Albain Forestier"/>
    <n v="2"/>
    <n v="0.22807646013130389"/>
    <n v="499.77192353986868"/>
  </r>
  <r>
    <s v="PBOR00786"/>
    <s v="PIZB0003"/>
    <x v="39"/>
    <x v="3"/>
    <x v="0"/>
    <n v="130"/>
    <s v="Roch Cousineau"/>
    <n v="4"/>
    <n v="0.57064112456190297"/>
    <n v="519.42935887543808"/>
  </r>
  <r>
    <s v="PBOR00787"/>
    <s v="PIZB0004"/>
    <x v="42"/>
    <x v="4"/>
    <x v="1"/>
    <n v="60"/>
    <s v="Adrien Martin"/>
    <n v="8"/>
    <n v="0.98292562887878732"/>
    <n v="479.01707437112123"/>
  </r>
  <r>
    <s v="PBOR00788"/>
    <s v="PIZB0005"/>
    <x v="30"/>
    <x v="0"/>
    <x v="0"/>
    <n v="72"/>
    <s v="Albain Forestier"/>
    <n v="4"/>
    <n v="0.42182995268536005"/>
    <n v="287.57817004731464"/>
  </r>
  <r>
    <s v="PBOR00789"/>
    <s v="PIZB0001"/>
    <x v="66"/>
    <x v="1"/>
    <x v="1"/>
    <n v="65"/>
    <s v="Roch Cousineau"/>
    <n v="5"/>
    <n v="0.74621135718451048"/>
    <n v="324.25378864281549"/>
  </r>
  <r>
    <s v="PBOR00790"/>
    <s v="PIZB0002"/>
    <x v="42"/>
    <x v="2"/>
    <x v="0"/>
    <n v="250"/>
    <s v="Adrien Martin"/>
    <n v="3"/>
    <n v="0.69900575443116486"/>
    <n v="749.30099424556886"/>
  </r>
  <r>
    <s v="PBOR00791"/>
    <s v="PIZB0003"/>
    <x v="83"/>
    <x v="3"/>
    <x v="1"/>
    <n v="130"/>
    <s v="Albain Forestier"/>
    <n v="4"/>
    <n v="0.66958055050592657"/>
    <n v="519.33041944949412"/>
  </r>
  <r>
    <s v="PBOR00792"/>
    <s v="PIZB0004"/>
    <x v="79"/>
    <x v="0"/>
    <x v="0"/>
    <n v="72"/>
    <s v="Roch Cousineau"/>
    <n v="5"/>
    <n v="0.60233853158300177"/>
    <n v="359.39766146841697"/>
  </r>
  <r>
    <s v="PBOR00793"/>
    <s v="PIZB0001"/>
    <x v="70"/>
    <x v="1"/>
    <x v="1"/>
    <n v="65"/>
    <s v="Adrien Martin"/>
    <n v="7"/>
    <n v="0.2676262337396389"/>
    <n v="454.73237376626037"/>
  </r>
  <r>
    <s v="PBOR00794"/>
    <s v="PIZB0002"/>
    <x v="55"/>
    <x v="2"/>
    <x v="0"/>
    <n v="250"/>
    <s v="Albain Forestier"/>
    <n v="1"/>
    <n v="0.77956229302756253"/>
    <n v="249.22043770697243"/>
  </r>
  <r>
    <s v="PBOR00795"/>
    <s v="PIZB0003"/>
    <x v="51"/>
    <x v="3"/>
    <x v="1"/>
    <n v="130"/>
    <s v="Roch Cousineau"/>
    <n v="6"/>
    <n v="0.66372567025084184"/>
    <n v="779.33627432974913"/>
  </r>
  <r>
    <s v="PBOR00796"/>
    <s v="PIZB0004"/>
    <x v="77"/>
    <x v="4"/>
    <x v="0"/>
    <n v="60"/>
    <s v="Adrien Martin"/>
    <n v="13"/>
    <n v="0.23446283441814564"/>
    <n v="779.7655371655818"/>
  </r>
  <r>
    <s v="PBOR00797"/>
    <s v="PIZB0005"/>
    <x v="30"/>
    <x v="5"/>
    <x v="1"/>
    <n v="95"/>
    <s v="Albain Forestier"/>
    <n v="6"/>
    <n v="0.80898107167998889"/>
    <n v="569.19101892831998"/>
  </r>
  <r>
    <s v="PBOR00798"/>
    <s v="PIZB0006"/>
    <x v="70"/>
    <x v="0"/>
    <x v="0"/>
    <n v="72"/>
    <s v="Roch Cousineau"/>
    <n v="12"/>
    <n v="0.88305282895703929"/>
    <n v="863.116947171042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61D0A5-493B-4056-8027-438921EF132D}"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Order Type">
  <location ref="A208:B210" firstHeaderRow="1" firstDataRow="1" firstDataCol="1"/>
  <pivotFields count="11">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axis="axisRow" showAll="0">
      <items count="3">
        <item x="0"/>
        <item x="1"/>
        <item t="default"/>
      </items>
    </pivotField>
    <pivotField showAll="0"/>
    <pivotField showAll="0"/>
    <pivotField dataField="1" showAll="0"/>
    <pivotField numFmtId="9" showAll="0"/>
    <pivotField numFmtId="2"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rowFields count="1">
    <field x="4"/>
  </rowFields>
  <rowItems count="2">
    <i>
      <x/>
    </i>
    <i>
      <x v="1"/>
    </i>
  </rowItems>
  <colItems count="1">
    <i/>
  </colItems>
  <dataFields count="1">
    <dataField name="Products Sold" fld="7" baseField="0" baseItem="0"/>
  </dataFields>
  <formats count="10">
    <format dxfId="10">
      <pivotArea type="all" dataOnly="0" outline="0" fieldPosition="0"/>
    </format>
    <format dxfId="9">
      <pivotArea outline="0" collapsedLevelsAreSubtotals="1" fieldPosition="0"/>
    </format>
    <format dxfId="8">
      <pivotArea field="4" type="button" dataOnly="0" labelOnly="1" outline="0" axis="axisRow" fieldPosition="0"/>
    </format>
    <format dxfId="7">
      <pivotArea dataOnly="0" labelOnly="1" fieldPosition="0">
        <references count="1">
          <reference field="4" count="0"/>
        </references>
      </pivotArea>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4" type="button" dataOnly="0" labelOnly="1" outline="0" axis="axisRow" fieldPosition="0"/>
    </format>
    <format dxfId="2">
      <pivotArea dataOnly="0" labelOnly="1" fieldPosition="0">
        <references count="1">
          <reference field="4" count="0"/>
        </references>
      </pivotArea>
    </format>
    <format dxfId="1">
      <pivotArea dataOnly="0" labelOnly="1" outline="0" axis="axisValues" fieldPosition="0"/>
    </format>
  </formats>
  <chartFormats count="2">
    <chartFormat chart="4" format="4"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A4E243-52D5-4EBD-A554-06A5F8EA38A4}"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7">
  <location ref="A106:B190" firstHeaderRow="1" firstDataRow="1" firstDataCol="1"/>
  <pivotFields count="11">
    <pivotField compact="0" outline="0" showAll="0"/>
    <pivotField compact="0" outline="0" showAll="0"/>
    <pivotField compact="0" numFmtId="15" outline="0"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compact="0" outline="0" showAll="0"/>
    <pivotField compact="0" outline="0" showAll="0"/>
    <pivotField compact="0" outline="0" showAll="0"/>
    <pivotField compact="0" outline="0" showAll="0"/>
    <pivotField compact="0" outline="0" showAll="0"/>
    <pivotField compact="0" numFmtId="9" outline="0" showAll="0"/>
    <pivotField dataField="1" compact="0" numFmtId="2" outline="0" showAll="0"/>
    <pivotField name="Date" axis="axisRow"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0"/>
  </rowFields>
  <rowItems count="84">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rowItems>
  <colItems count="1">
    <i/>
  </colItems>
  <dataFields count="1">
    <dataField name="Revenue" fld="9" baseField="0" baseItem="0" numFmtId="164"/>
  </dataFields>
  <formats count="7">
    <format dxfId="17">
      <pivotArea type="all" dataOnly="0" outline="0" fieldPosition="0"/>
    </format>
    <format dxfId="16">
      <pivotArea outline="0" collapsedLevelsAreSubtotals="1" fieldPosition="0"/>
    </format>
    <format dxfId="15">
      <pivotArea dataOnly="0" labelOnly="1" outline="0" axis="axisValues" fieldPosition="0"/>
    </format>
    <format dxfId="14">
      <pivotArea type="all" dataOnly="0" outline="0" fieldPosition="0"/>
    </format>
    <format dxfId="13">
      <pivotArea outline="0" collapsedLevelsAreSubtotals="1" fieldPosition="0"/>
    </format>
    <format dxfId="12">
      <pivotArea dataOnly="0" labelOnly="1" outline="0" axis="axisValues" fieldPosition="0"/>
    </format>
    <format dxfId="11">
      <pivotArea outline="0" collapsedLevelsAreSubtotals="1" fieldPosition="0"/>
    </format>
  </formats>
  <chartFormats count="1">
    <chartFormat chart="16"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2D9EE1-94F5-4E20-B9F9-48CA336A3BE8}"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rowHeaderCaption="Order Type">
  <location ref="A204:B206" firstHeaderRow="1" firstDataRow="1" firstDataCol="1"/>
  <pivotFields count="11">
    <pivotField dataField="1"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items count="7">
        <item x="5"/>
        <item x="1"/>
        <item x="2"/>
        <item x="3"/>
        <item x="4"/>
        <item x="0"/>
        <item t="default"/>
      </items>
    </pivotField>
    <pivotField axis="axisRow" showAll="0">
      <items count="3">
        <item x="0"/>
        <item x="1"/>
        <item t="default"/>
      </items>
    </pivotField>
    <pivotField showAll="0"/>
    <pivotField showAll="0"/>
    <pivotField showAll="0"/>
    <pivotField numFmtId="9" showAll="0"/>
    <pivotField numFmtId="2"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rowFields count="1">
    <field x="4"/>
  </rowFields>
  <rowItems count="2">
    <i>
      <x/>
    </i>
    <i>
      <x v="1"/>
    </i>
  </rowItems>
  <colItems count="1">
    <i/>
  </colItems>
  <dataFields count="1">
    <dataField name="No. of orders" fld="0" subtotal="count" baseField="0" baseItem="0"/>
  </dataFields>
  <formats count="10">
    <format dxfId="27">
      <pivotArea type="all" dataOnly="0" outline="0" fieldPosition="0"/>
    </format>
    <format dxfId="26">
      <pivotArea outline="0" collapsedLevelsAreSubtotals="1" fieldPosition="0"/>
    </format>
    <format dxfId="25">
      <pivotArea field="4" type="button" dataOnly="0" labelOnly="1" outline="0" axis="axisRow" fieldPosition="0"/>
    </format>
    <format dxfId="24">
      <pivotArea dataOnly="0" labelOnly="1" fieldPosition="0">
        <references count="1">
          <reference field="4" count="0"/>
        </references>
      </pivotArea>
    </format>
    <format dxfId="23">
      <pivotArea dataOnly="0" labelOnly="1" outline="0" fieldPosition="0">
        <references count="1">
          <reference field="4294967294" count="1">
            <x v="0"/>
          </reference>
        </references>
      </pivotArea>
    </format>
    <format dxfId="22">
      <pivotArea type="all" dataOnly="0" outline="0" fieldPosition="0"/>
    </format>
    <format dxfId="21">
      <pivotArea outline="0" collapsedLevelsAreSubtotals="1" fieldPosition="0"/>
    </format>
    <format dxfId="20">
      <pivotArea field="4" type="button" dataOnly="0" labelOnly="1" outline="0" axis="axisRow" fieldPosition="0"/>
    </format>
    <format dxfId="19">
      <pivotArea dataOnly="0" labelOnly="1" fieldPosition="0">
        <references count="1">
          <reference field="4" count="0"/>
        </references>
      </pivotArea>
    </format>
    <format dxfId="18">
      <pivotArea dataOnly="0" labelOnly="1"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7FAC2B-134F-4545-8E61-70C4FC61001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1">
    <pivotField dataField="1"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pivotField showAll="0"/>
    <pivotField showAll="0"/>
    <pivotField showAll="0"/>
    <pivotField dataField="1"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Items count="1">
    <i/>
  </rowItems>
  <colFields count="1">
    <field x="-2"/>
  </colFields>
  <colItems count="4">
    <i>
      <x/>
    </i>
    <i i="1">
      <x v="1"/>
    </i>
    <i i="2">
      <x v="2"/>
    </i>
    <i i="3">
      <x v="3"/>
    </i>
  </colItems>
  <dataFields count="4">
    <dataField name="Total Orders" fld="0" subtotal="count" baseField="0" baseItem="0"/>
    <dataField name="Total Revenue" fld="9" baseField="0" baseItem="0" numFmtId="164"/>
    <dataField name="Average Revenue" fld="9" subtotal="average" baseField="0" baseItem="1" numFmtId="164"/>
    <dataField name="Average Discount" fld="8" subtotal="average" baseField="0" baseItem="1" numFmtId="9"/>
  </dataFields>
  <formats count="9">
    <format dxfId="35">
      <pivotArea type="all" dataOnly="0" outline="0" fieldPosition="0"/>
    </format>
    <format dxfId="34">
      <pivotArea outline="0" collapsedLevelsAreSubtotals="1" fieldPosition="0"/>
    </format>
    <format dxfId="33">
      <pivotArea dataOnly="0" labelOnly="1" outline="0" fieldPosition="0">
        <references count="1">
          <reference field="4294967294" count="4">
            <x v="0"/>
            <x v="1"/>
            <x v="2"/>
            <x v="3"/>
          </reference>
        </references>
      </pivotArea>
    </format>
    <format dxfId="32">
      <pivotArea type="all" dataOnly="0" outline="0" fieldPosition="0"/>
    </format>
    <format dxfId="31">
      <pivotArea outline="0" collapsedLevelsAreSubtotals="1" fieldPosition="0"/>
    </format>
    <format dxfId="30">
      <pivotArea dataOnly="0" labelOnly="1" outline="0" fieldPosition="0">
        <references count="1">
          <reference field="4294967294" count="4">
            <x v="0"/>
            <x v="1"/>
            <x v="2"/>
            <x v="3"/>
          </reference>
        </references>
      </pivotArea>
    </format>
    <format dxfId="29">
      <pivotArea outline="0" collapsedLevelsAreSubtotals="1" fieldPosition="0">
        <references count="1">
          <reference field="4294967294" count="1" selected="0">
            <x v="1"/>
          </reference>
        </references>
      </pivotArea>
    </format>
    <format dxfId="28">
      <pivotArea outline="0" collapsedLevelsAreSubtotals="1" fieldPosition="0">
        <references count="1">
          <reference field="4294967294" count="1" selected="0">
            <x v="2"/>
          </reference>
        </references>
      </pivotArea>
    </format>
    <format dxfId="0">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C57E2C-4B2C-49D6-B223-95E8013DB512}"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0">
  <location ref="A18:B102" firstHeaderRow="1" firstDataRow="1" firstDataCol="1"/>
  <pivotFields count="11">
    <pivotField compact="0" outline="0" showAll="0" defaultSubtotal="0"/>
    <pivotField compact="0" outline="0" showAll="0" defaultSubtotal="0"/>
    <pivotField compact="0" numFmtId="15" outline="0" showAll="0" defaultSubtotal="0">
      <items count="84">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s>
    </pivotField>
    <pivotField compact="0" outline="0" showAll="0" defaultSubtotal="0">
      <items count="6">
        <item x="5"/>
        <item x="1"/>
        <item x="2"/>
        <item x="3"/>
        <item x="4"/>
        <item x="0"/>
      </items>
    </pivotField>
    <pivotField compact="0" outline="0" showAll="0" defaultSubtotal="0"/>
    <pivotField compact="0" outline="0" showAll="0" defaultSubtotal="0"/>
    <pivotField compact="0" outline="0" showAll="0" defaultSubtotal="0"/>
    <pivotField dataField="1" compact="0" outline="0" showAll="0" defaultSubtotal="0"/>
    <pivotField compact="0" numFmtId="9" outline="0" showAll="0" defaultSubtotal="0"/>
    <pivotField compact="0" numFmtId="2" outline="0" showAll="0" defaultSubtotal="0"/>
    <pivotField name="Date" axis="axisRow"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rowFields count="1">
    <field x="10"/>
  </rowFields>
  <rowItems count="84">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rowItems>
  <colItems count="1">
    <i/>
  </colItems>
  <dataFields count="1">
    <dataField name="No. of Sale" fld="7" subtotal="count" baseField="0" baseItem="0"/>
  </dataFields>
  <formats count="8">
    <format dxfId="43">
      <pivotArea type="all" dataOnly="0" outline="0" fieldPosition="0"/>
    </format>
    <format dxfId="42">
      <pivotArea outline="0" collapsedLevelsAreSubtotals="1" fieldPosition="0"/>
    </format>
    <format dxfId="41">
      <pivotArea field="2" type="button" dataOnly="0" labelOnly="1" outline="0"/>
    </format>
    <format dxfId="40">
      <pivotArea dataOnly="0" labelOnly="1" outline="0" axis="axisValues" fieldPosition="0"/>
    </format>
    <format dxfId="39">
      <pivotArea type="all" dataOnly="0" outline="0" fieldPosition="0"/>
    </format>
    <format dxfId="38">
      <pivotArea outline="0" collapsedLevelsAreSubtotals="1" fieldPosition="0"/>
    </format>
    <format dxfId="37">
      <pivotArea field="2" type="button" dataOnly="0" labelOnly="1" outline="0"/>
    </format>
    <format dxfId="36">
      <pivotArea dataOnly="0" labelOnly="1" outline="0" axis="axisValues" fieldPosition="0"/>
    </format>
  </formats>
  <chartFormats count="1">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5D35C6-DD42-4735-811B-C45DD437361B}" name="PivotTable4"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4" rowHeaderCaption="Product Name">
  <location ref="A8:B14" firstHeaderRow="1" firstDataRow="1" firstDataCol="1"/>
  <pivotFields count="11">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dataField="1" showAll="0" sortType="ascending">
      <items count="7">
        <item x="5"/>
        <item x="1"/>
        <item x="2"/>
        <item x="3"/>
        <item x="4"/>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3"/>
  </rowFields>
  <rowItems count="6">
    <i>
      <x/>
    </i>
    <i>
      <x v="4"/>
    </i>
    <i>
      <x v="3"/>
    </i>
    <i>
      <x v="2"/>
    </i>
    <i>
      <x v="1"/>
    </i>
    <i>
      <x v="5"/>
    </i>
  </rowItems>
  <colItems count="1">
    <i/>
  </colItems>
  <dataFields count="1">
    <dataField name="Count of Product" fld="3" subtotal="count" baseField="0" baseItem="0"/>
  </dataFields>
  <formats count="10">
    <format dxfId="53">
      <pivotArea type="all" dataOnly="0" outline="0" fieldPosition="0"/>
    </format>
    <format dxfId="52">
      <pivotArea outline="0" collapsedLevelsAreSubtotals="1" fieldPosition="0"/>
    </format>
    <format dxfId="51">
      <pivotArea field="3" type="button" dataOnly="0" labelOnly="1" outline="0" axis="axisRow" fieldPosition="0"/>
    </format>
    <format dxfId="50">
      <pivotArea dataOnly="0" labelOnly="1" fieldPosition="0">
        <references count="1">
          <reference field="3" count="1">
            <x v="5"/>
          </reference>
        </references>
      </pivotArea>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field="3" type="button" dataOnly="0" labelOnly="1" outline="0" axis="axisRow" fieldPosition="0"/>
    </format>
    <format dxfId="45">
      <pivotArea dataOnly="0" labelOnly="1" fieldPosition="0">
        <references count="1">
          <reference field="3" count="1">
            <x v="5"/>
          </reference>
        </references>
      </pivotArea>
    </format>
    <format dxfId="44">
      <pivotArea dataOnly="0" labelOnly="1" outline="0" axis="axisValues" fieldPosition="0"/>
    </format>
  </formats>
  <chartFormats count="1">
    <chartFormat chart="2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18BEC7-A5A4-4920-B244-CA89A3E12C0C}"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194:B200" firstHeaderRow="1" firstDataRow="1" firstDataCol="1"/>
  <pivotFields count="11">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showAll="0">
      <items count="7">
        <item x="5"/>
        <item x="1"/>
        <item x="2"/>
        <item x="3"/>
        <item x="4"/>
        <item x="0"/>
        <item t="default"/>
      </items>
    </pivotField>
    <pivotField showAll="0"/>
    <pivotField showAll="0"/>
    <pivotField showAll="0"/>
    <pivotField showAll="0"/>
    <pivotField numFmtId="9" showAll="0"/>
    <pivotField dataField="1" numFmtId="2"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rowFields count="1">
    <field x="3"/>
  </rowFields>
  <rowItems count="6">
    <i>
      <x/>
    </i>
    <i>
      <x v="1"/>
    </i>
    <i>
      <x v="2"/>
    </i>
    <i>
      <x v="3"/>
    </i>
    <i>
      <x v="4"/>
    </i>
    <i>
      <x v="5"/>
    </i>
  </rowItems>
  <colItems count="1">
    <i/>
  </colItems>
  <dataFields count="1">
    <dataField name="Revenue" fld="9" baseField="0" baseItem="0" numFmtId="164"/>
  </dataFields>
  <formats count="13">
    <format dxfId="66">
      <pivotArea type="all" dataOnly="0" outline="0" fieldPosition="0"/>
    </format>
    <format dxfId="65">
      <pivotArea outline="0" collapsedLevelsAreSubtotals="1" fieldPosition="0"/>
    </format>
    <format dxfId="64">
      <pivotArea field="3" type="button" dataOnly="0" labelOnly="1" outline="0" axis="axisRow" fieldPosition="0"/>
    </format>
    <format dxfId="63">
      <pivotArea dataOnly="0" labelOnly="1" fieldPosition="0">
        <references count="1">
          <reference field="3" count="0"/>
        </references>
      </pivotArea>
    </format>
    <format dxfId="62">
      <pivotArea dataOnly="0" labelOnly="1" grandRow="1" outline="0" fieldPosition="0"/>
    </format>
    <format dxfId="61">
      <pivotArea dataOnly="0" labelOnly="1" outline="0" axis="axisValues" fieldPosition="0"/>
    </format>
    <format dxfId="60">
      <pivotArea type="all" dataOnly="0" outline="0" fieldPosition="0"/>
    </format>
    <format dxfId="59">
      <pivotArea outline="0" collapsedLevelsAreSubtotals="1" fieldPosition="0"/>
    </format>
    <format dxfId="58">
      <pivotArea field="3" type="button" dataOnly="0" labelOnly="1" outline="0" axis="axisRow" fieldPosition="0"/>
    </format>
    <format dxfId="57">
      <pivotArea dataOnly="0" labelOnly="1" fieldPosition="0">
        <references count="1">
          <reference field="3" count="0"/>
        </references>
      </pivotArea>
    </format>
    <format dxfId="56">
      <pivotArea dataOnly="0" labelOnly="1" grandRow="1" outline="0" fieldPosition="0"/>
    </format>
    <format dxfId="55">
      <pivotArea dataOnly="0" labelOnly="1" outline="0" axis="axisValues" fieldPosition="0"/>
    </format>
    <format dxfId="54">
      <pivotArea outline="0" collapsedLevelsAreSubtotals="1" fieldPosition="0"/>
    </format>
  </formats>
  <chartFormats count="1">
    <chartFormat chart="1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EE32E1-2336-4CC1-9F2A-EF44ACEBE4D7}"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Order Type">
  <location ref="A212:B214" firstHeaderRow="1" firstDataRow="1" firstDataCol="1"/>
  <pivotFields count="11">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axis="axisRow" showAll="0">
      <items count="3">
        <item x="0"/>
        <item x="1"/>
        <item t="default"/>
      </items>
    </pivotField>
    <pivotField showAll="0"/>
    <pivotField showAll="0"/>
    <pivotField showAll="0"/>
    <pivotField numFmtId="9" showAll="0"/>
    <pivotField dataField="1" numFmtId="2"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rowFields count="1">
    <field x="4"/>
  </rowFields>
  <rowItems count="2">
    <i>
      <x/>
    </i>
    <i>
      <x v="1"/>
    </i>
  </rowItems>
  <colItems count="1">
    <i/>
  </colItems>
  <dataFields count="1">
    <dataField name="Revenue" fld="9" baseField="0" baseItem="0" numFmtId="164"/>
  </dataFields>
  <formats count="11">
    <format dxfId="77">
      <pivotArea type="all" dataOnly="0" outline="0" fieldPosition="0"/>
    </format>
    <format dxfId="76">
      <pivotArea outline="0" collapsedLevelsAreSubtotals="1" fieldPosition="0"/>
    </format>
    <format dxfId="75">
      <pivotArea field="4" type="button" dataOnly="0" labelOnly="1" outline="0" axis="axisRow" fieldPosition="0"/>
    </format>
    <format dxfId="74">
      <pivotArea dataOnly="0" labelOnly="1" fieldPosition="0">
        <references count="1">
          <reference field="4" count="0"/>
        </references>
      </pivotArea>
    </format>
    <format dxfId="73">
      <pivotArea dataOnly="0" labelOnly="1" outline="0" axis="axisValues" fieldPosition="0"/>
    </format>
    <format dxfId="72">
      <pivotArea type="all" dataOnly="0" outline="0" fieldPosition="0"/>
    </format>
    <format dxfId="71">
      <pivotArea outline="0" collapsedLevelsAreSubtotals="1" fieldPosition="0"/>
    </format>
    <format dxfId="70">
      <pivotArea field="4" type="button" dataOnly="0" labelOnly="1" outline="0" axis="axisRow" fieldPosition="0"/>
    </format>
    <format dxfId="69">
      <pivotArea dataOnly="0" labelOnly="1" fieldPosition="0">
        <references count="1">
          <reference field="4" count="0"/>
        </references>
      </pivotArea>
    </format>
    <format dxfId="68">
      <pivotArea dataOnly="0" labelOnly="1" outline="0" axis="axisValues" fieldPosition="0"/>
    </format>
    <format dxfId="67">
      <pivotArea outline="0" collapsedLevelsAreSubtotals="1" fieldPosition="0"/>
    </format>
  </formats>
  <chartFormats count="2">
    <chartFormat chart="4" format="4"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ype" xr10:uid="{07220236-8674-4B30-A53A-0CEF1048B2E8}" sourceName="Order Type">
  <pivotTables>
    <pivotTable tabId="13" name="PivotTable6"/>
    <pivotTable tabId="13" name="PivotTable7"/>
    <pivotTable tabId="13" name="PivotTable8"/>
  </pivotTables>
  <data>
    <tabular pivotCacheId="207459564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0BE0F26D-AB4D-4AE6-848C-8FEE9E1D491A}" sourceName="Product Name">
  <pivotTables>
    <pivotTable tabId="13" name="PivotTable4"/>
    <pivotTable tabId="13" name="PivotTable3"/>
  </pivotTables>
  <data>
    <tabular pivotCacheId="2074595649">
      <items count="6">
        <i x="5" s="1"/>
        <i x="1" s="1"/>
        <i x="2" s="1"/>
        <i x="3"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__Sale_Date" xr10:uid="{8185B512-2F84-49BD-85AD-7B778761ABC5}" sourceName="Days (Sale Date)">
  <pivotTables>
    <pivotTable tabId="13" name="PivotTable5"/>
    <pivotTable tabId="13" name="PivotTable1"/>
  </pivotTables>
  <data>
    <tabular pivotCacheId="2074595649">
      <items count="368">
        <i x="223" s="1"/>
        <i x="192" s="1"/>
        <i x="224" s="1"/>
        <i x="193" s="1"/>
        <i x="225" s="1"/>
        <i x="194" s="1"/>
        <i x="226" s="1"/>
        <i x="195" s="1"/>
        <i x="165" s="1"/>
        <i x="227" s="1"/>
        <i x="196" s="1"/>
        <i x="166" s="1"/>
        <i x="228" s="1"/>
        <i x="197" s="1"/>
        <i x="167" s="1"/>
        <i x="229" s="1"/>
        <i x="198" s="1"/>
        <i x="168" s="1"/>
        <i x="230" s="1"/>
        <i x="199" s="1"/>
        <i x="169" s="1"/>
        <i x="231" s="1"/>
        <i x="200" s="1"/>
        <i x="170" s="1"/>
        <i x="232" s="1"/>
        <i x="201" s="1"/>
        <i x="171" s="1"/>
        <i x="214" s="1"/>
        <i x="183" s="1"/>
        <i x="245" s="1"/>
        <i x="233" s="1"/>
        <i x="202" s="1"/>
        <i x="172" s="1"/>
        <i x="234" s="1"/>
        <i x="203" s="1"/>
        <i x="173" s="1"/>
        <i x="235" s="1"/>
        <i x="204" s="1"/>
        <i x="174" s="1"/>
        <i x="236" s="1"/>
        <i x="205" s="1"/>
        <i x="175" s="1"/>
        <i x="237" s="1"/>
        <i x="206" s="1"/>
        <i x="176" s="1"/>
        <i x="238" s="1"/>
        <i x="177" s="1"/>
        <i x="239" s="1"/>
        <i x="208" s="1"/>
        <i x="178" s="1"/>
        <i x="240" s="1"/>
        <i x="209" s="1"/>
        <i x="179" s="1"/>
        <i x="241" s="1"/>
        <i x="210" s="1"/>
        <i x="180" s="1"/>
        <i x="242" s="1"/>
        <i x="211" s="1"/>
        <i x="215" s="1"/>
        <i x="184" s="1"/>
        <i x="246" s="1"/>
        <i x="243" s="1"/>
        <i x="212" s="1"/>
        <i x="182" s="1"/>
        <i x="244" s="1"/>
        <i x="213" s="1"/>
        <i x="216" s="1"/>
        <i x="185" s="1"/>
        <i x="247" s="1"/>
        <i x="217" s="1"/>
        <i x="186" s="1"/>
        <i x="248" s="1"/>
        <i x="218" s="1"/>
        <i x="187" s="1"/>
        <i x="249" s="1"/>
        <i x="219" s="1"/>
        <i x="188" s="1"/>
        <i x="250" s="1"/>
        <i x="220" s="1"/>
        <i x="189" s="1"/>
        <i x="221" s="1"/>
        <i x="190" s="1"/>
        <i x="222" s="1"/>
        <i x="191" s="1"/>
        <i x="0" s="1" nd="1"/>
        <i x="367" s="1" nd="1"/>
        <i x="101" s="1" nd="1"/>
        <i x="345" s="1" nd="1"/>
        <i x="41" s="1" nd="1"/>
        <i x="10" s="1" nd="1"/>
        <i x="162" s="1" nd="1"/>
        <i x="70" s="1" nd="1"/>
        <i x="131" s="1" nd="1"/>
        <i x="315" s="1" nd="1"/>
        <i x="284" s="1" nd="1"/>
        <i x="254" s="1" nd="1"/>
        <i x="102" s="1" nd="1"/>
        <i x="346" s="1" nd="1"/>
        <i x="42" s="1" nd="1"/>
        <i x="11" s="1" nd="1"/>
        <i x="163" s="1" nd="1"/>
        <i x="71" s="1" nd="1"/>
        <i x="132" s="1" nd="1"/>
        <i x="316" s="1" nd="1"/>
        <i x="285" s="1" nd="1"/>
        <i x="255" s="1" nd="1"/>
        <i x="103" s="1" nd="1"/>
        <i x="347" s="1" nd="1"/>
        <i x="43" s="1" nd="1"/>
        <i x="12" s="1" nd="1"/>
        <i x="164" s="1" nd="1"/>
        <i x="72" s="1" nd="1"/>
        <i x="133" s="1" nd="1"/>
        <i x="317" s="1" nd="1"/>
        <i x="286" s="1" nd="1"/>
        <i x="256" s="1" nd="1"/>
        <i x="104" s="1" nd="1"/>
        <i x="348" s="1" nd="1"/>
        <i x="44" s="1" nd="1"/>
        <i x="13" s="1" nd="1"/>
        <i x="73" s="1" nd="1"/>
        <i x="134" s="1" nd="1"/>
        <i x="318" s="1" nd="1"/>
        <i x="287" s="1" nd="1"/>
        <i x="257" s="1" nd="1"/>
        <i x="105" s="1" nd="1"/>
        <i x="349" s="1" nd="1"/>
        <i x="45" s="1" nd="1"/>
        <i x="14" s="1" nd="1"/>
        <i x="74" s="1" nd="1"/>
        <i x="135" s="1" nd="1"/>
        <i x="319" s="1" nd="1"/>
        <i x="288" s="1" nd="1"/>
        <i x="258" s="1" nd="1"/>
        <i x="106" s="1" nd="1"/>
        <i x="350" s="1" nd="1"/>
        <i x="46" s="1" nd="1"/>
        <i x="15" s="1" nd="1"/>
        <i x="75" s="1" nd="1"/>
        <i x="136" s="1" nd="1"/>
        <i x="320" s="1" nd="1"/>
        <i x="289" s="1" nd="1"/>
        <i x="259" s="1" nd="1"/>
        <i x="107" s="1" nd="1"/>
        <i x="351" s="1" nd="1"/>
        <i x="47" s="1" nd="1"/>
        <i x="16" s="1" nd="1"/>
        <i x="76" s="1" nd="1"/>
        <i x="137" s="1" nd="1"/>
        <i x="321" s="1" nd="1"/>
        <i x="290" s="1" nd="1"/>
        <i x="260" s="1" nd="1"/>
        <i x="108" s="1" nd="1"/>
        <i x="352" s="1" nd="1"/>
        <i x="48" s="1" nd="1"/>
        <i x="17" s="1" nd="1"/>
        <i x="77" s="1" nd="1"/>
        <i x="138" s="1" nd="1"/>
        <i x="322" s="1" nd="1"/>
        <i x="291" s="1" nd="1"/>
        <i x="261" s="1" nd="1"/>
        <i x="109" s="1" nd="1"/>
        <i x="353" s="1" nd="1"/>
        <i x="49" s="1" nd="1"/>
        <i x="18" s="1" nd="1"/>
        <i x="78" s="1" nd="1"/>
        <i x="139" s="1" nd="1"/>
        <i x="323" s="1" nd="1"/>
        <i x="292" s="1" nd="1"/>
        <i x="262" s="1" nd="1"/>
        <i x="110" s="1" nd="1"/>
        <i x="354" s="1" nd="1"/>
        <i x="50" s="1" nd="1"/>
        <i x="19" s="1" nd="1"/>
        <i x="79" s="1" nd="1"/>
        <i x="140" s="1" nd="1"/>
        <i x="324" s="1" nd="1"/>
        <i x="293" s="1" nd="1"/>
        <i x="263" s="1" nd="1"/>
        <i x="92" s="1" nd="1"/>
        <i x="336" s="1" nd="1"/>
        <i x="32" s="1" nd="1"/>
        <i x="1" s="1" nd="1"/>
        <i x="153" s="1" nd="1"/>
        <i x="61" s="1" nd="1"/>
        <i x="122" s="1" nd="1"/>
        <i x="306" s="1" nd="1"/>
        <i x="275" s="1" nd="1"/>
        <i x="111" s="1" nd="1"/>
        <i x="355" s="1" nd="1"/>
        <i x="51" s="1" nd="1"/>
        <i x="20" s="1" nd="1"/>
        <i x="80" s="1" nd="1"/>
        <i x="141" s="1" nd="1"/>
        <i x="325" s="1" nd="1"/>
        <i x="294" s="1" nd="1"/>
        <i x="264" s="1" nd="1"/>
        <i x="112" s="1" nd="1"/>
        <i x="356" s="1" nd="1"/>
        <i x="52" s="1" nd="1"/>
        <i x="21" s="1" nd="1"/>
        <i x="81" s="1" nd="1"/>
        <i x="142" s="1" nd="1"/>
        <i x="326" s="1" nd="1"/>
        <i x="295" s="1" nd="1"/>
        <i x="265" s="1" nd="1"/>
        <i x="113" s="1" nd="1"/>
        <i x="357" s="1" nd="1"/>
        <i x="53" s="1" nd="1"/>
        <i x="22" s="1" nd="1"/>
        <i x="82" s="1" nd="1"/>
        <i x="143" s="1" nd="1"/>
        <i x="327" s="1" nd="1"/>
        <i x="296" s="1" nd="1"/>
        <i x="266" s="1" nd="1"/>
        <i x="114" s="1" nd="1"/>
        <i x="358" s="1" nd="1"/>
        <i x="54" s="1" nd="1"/>
        <i x="23" s="1" nd="1"/>
        <i x="83" s="1" nd="1"/>
        <i x="144" s="1" nd="1"/>
        <i x="328" s="1" nd="1"/>
        <i x="297" s="1" nd="1"/>
        <i x="267" s="1" nd="1"/>
        <i x="115" s="1" nd="1"/>
        <i x="359" s="1" nd="1"/>
        <i x="55" s="1" nd="1"/>
        <i x="24" s="1" nd="1"/>
        <i x="84" s="1" nd="1"/>
        <i x="145" s="1" nd="1"/>
        <i x="329" s="1" nd="1"/>
        <i x="298" s="1" nd="1"/>
        <i x="268" s="1" nd="1"/>
        <i x="116" s="1" nd="1"/>
        <i x="360" s="1" nd="1"/>
        <i x="56" s="1" nd="1"/>
        <i x="25" s="1" nd="1"/>
        <i x="207" s="1" nd="1"/>
        <i x="85" s="1" nd="1"/>
        <i x="146" s="1" nd="1"/>
        <i x="330" s="1" nd="1"/>
        <i x="299" s="1" nd="1"/>
        <i x="269" s="1" nd="1"/>
        <i x="117" s="1" nd="1"/>
        <i x="361" s="1" nd="1"/>
        <i x="57" s="1" nd="1"/>
        <i x="26" s="1" nd="1"/>
        <i x="86" s="1" nd="1"/>
        <i x="147" s="1" nd="1"/>
        <i x="331" s="1" nd="1"/>
        <i x="300" s="1" nd="1"/>
        <i x="270" s="1" nd="1"/>
        <i x="118" s="1" nd="1"/>
        <i x="362" s="1" nd="1"/>
        <i x="58" s="1" nd="1"/>
        <i x="27" s="1" nd="1"/>
        <i x="87" s="1" nd="1"/>
        <i x="148" s="1" nd="1"/>
        <i x="332" s="1" nd="1"/>
        <i x="301" s="1" nd="1"/>
        <i x="271" s="1" nd="1"/>
        <i x="119" s="1" nd="1"/>
        <i x="363" s="1" nd="1"/>
        <i x="59" s="1" nd="1"/>
        <i x="28" s="1" nd="1"/>
        <i x="88" s="1" nd="1"/>
        <i x="149" s="1" nd="1"/>
        <i x="333" s="1" nd="1"/>
        <i x="302" s="1" nd="1"/>
        <i x="272" s="1" nd="1"/>
        <i x="120" s="1" nd="1"/>
        <i x="364" s="1" nd="1"/>
        <i x="60" s="1" nd="1"/>
        <i x="29" s="1" nd="1"/>
        <i x="181" s="1" nd="1"/>
        <i x="89" s="1" nd="1"/>
        <i x="150" s="1" nd="1"/>
        <i x="334" s="1" nd="1"/>
        <i x="303" s="1" nd="1"/>
        <i x="273" s="1" nd="1"/>
        <i x="93" s="1" nd="1"/>
        <i x="337" s="1" nd="1"/>
        <i x="33" s="1" nd="1"/>
        <i x="2" s="1" nd="1"/>
        <i x="154" s="1" nd="1"/>
        <i x="62" s="1" nd="1"/>
        <i x="123" s="1" nd="1"/>
        <i x="307" s="1" nd="1"/>
        <i x="276" s="1" nd="1"/>
        <i x="121" s="1" nd="1"/>
        <i x="365" s="1" nd="1"/>
        <i x="30" s="1" nd="1"/>
        <i x="90" s="1" nd="1"/>
        <i x="151" s="1" nd="1"/>
        <i x="335" s="1" nd="1"/>
        <i x="304" s="1" nd="1"/>
        <i x="274" s="1" nd="1"/>
        <i x="366" s="1" nd="1"/>
        <i x="31" s="1" nd="1"/>
        <i x="91" s="1" nd="1"/>
        <i x="152" s="1" nd="1"/>
        <i x="305" s="1" nd="1"/>
        <i x="94" s="1" nd="1"/>
        <i x="338" s="1" nd="1"/>
        <i x="34" s="1" nd="1"/>
        <i x="3" s="1" nd="1"/>
        <i x="155" s="1" nd="1"/>
        <i x="63" s="1" nd="1"/>
        <i x="124" s="1" nd="1"/>
        <i x="308" s="1" nd="1"/>
        <i x="277" s="1" nd="1"/>
        <i x="95" s="1" nd="1"/>
        <i x="339" s="1" nd="1"/>
        <i x="35" s="1" nd="1"/>
        <i x="4" s="1" nd="1"/>
        <i x="156" s="1" nd="1"/>
        <i x="64" s="1" nd="1"/>
        <i x="125" s="1" nd="1"/>
        <i x="309" s="1" nd="1"/>
        <i x="278" s="1" nd="1"/>
        <i x="96" s="1" nd="1"/>
        <i x="340" s="1" nd="1"/>
        <i x="36" s="1" nd="1"/>
        <i x="5" s="1" nd="1"/>
        <i x="157" s="1" nd="1"/>
        <i x="65" s="1" nd="1"/>
        <i x="126" s="1" nd="1"/>
        <i x="310" s="1" nd="1"/>
        <i x="279" s="1" nd="1"/>
        <i x="97" s="1" nd="1"/>
        <i x="341" s="1" nd="1"/>
        <i x="37" s="1" nd="1"/>
        <i x="6" s="1" nd="1"/>
        <i x="158" s="1" nd="1"/>
        <i x="66" s="1" nd="1"/>
        <i x="127" s="1" nd="1"/>
        <i x="311" s="1" nd="1"/>
        <i x="280" s="1" nd="1"/>
        <i x="98" s="1" nd="1"/>
        <i x="342" s="1" nd="1"/>
        <i x="38" s="1" nd="1"/>
        <i x="7" s="1" nd="1"/>
        <i x="159" s="1" nd="1"/>
        <i x="67" s="1" nd="1"/>
        <i x="128" s="1" nd="1"/>
        <i x="312" s="1" nd="1"/>
        <i x="281" s="1" nd="1"/>
        <i x="251" s="1" nd="1"/>
        <i x="99" s="1" nd="1"/>
        <i x="343" s="1" nd="1"/>
        <i x="39" s="1" nd="1"/>
        <i x="8" s="1" nd="1"/>
        <i x="160" s="1" nd="1"/>
        <i x="68" s="1" nd="1"/>
        <i x="129" s="1" nd="1"/>
        <i x="313" s="1" nd="1"/>
        <i x="282" s="1" nd="1"/>
        <i x="252" s="1" nd="1"/>
        <i x="100" s="1" nd="1"/>
        <i x="344" s="1" nd="1"/>
        <i x="40" s="1" nd="1"/>
        <i x="9" s="1" nd="1"/>
        <i x="161" s="1" nd="1"/>
        <i x="69" s="1" nd="1"/>
        <i x="130" s="1" nd="1"/>
        <i x="314" s="1" nd="1"/>
        <i x="283" s="1" nd="1"/>
        <i x="25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Type 1" xr10:uid="{AEB97823-AA74-4883-9A36-4AA12CAAD9DE}" cache="Slicer_Order_Type" caption="Order Type" style="Slicer Style 1" rowHeight="234950"/>
  <slicer name="Product Name" xr10:uid="{0EB4ABC3-4D87-4FD2-A0F8-CF698D5F53B9}" cache="Slicer_Product_Name" caption="Product Name" style="SlicerStyleDark1" rowHeight="234950"/>
  <slicer name="Date" xr10:uid="{36E9C701-B016-401C-ADE1-488F922C7E9A}" cache="Slicer_Days__Sale_Date" caption="Date" columnCount="4"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15CC47A-0580-46C0-9EAA-224BAD81DF34}" name="Table3" displayName="Table3" ref="A1:J795" totalsRowShown="0">
  <autoFilter ref="A1:J795" xr:uid="{115CC47A-0580-46C0-9EAA-224BAD81DF34}"/>
  <tableColumns count="10">
    <tableColumn id="1" xr3:uid="{CEBFDD22-B1E3-43DF-BEA7-30B519BF2E32}" name="Order ID"/>
    <tableColumn id="2" xr3:uid="{2A318567-0528-4608-9FA3-F9CAEC00CFAD}" name="Product ID"/>
    <tableColumn id="3" xr3:uid="{C39A216F-D00E-4EB9-8CA5-A50CC5275B26}" name="Sale Date" dataDxfId="81"/>
    <tableColumn id="4" xr3:uid="{FD366191-0E58-4A4B-92A2-1975810D6836}" name="Product Name"/>
    <tableColumn id="5" xr3:uid="{6F50430D-0895-4D23-B526-774187FC28A0}" name="Order Type"/>
    <tableColumn id="6" xr3:uid="{50FAAB79-47B1-4D11-A38E-E9B152FFC8A8}" name="Price of One Product"/>
    <tableColumn id="7" xr3:uid="{9824C29B-7D93-4E1E-9F4B-2F7A051A0898}" name="Agent"/>
    <tableColumn id="8" xr3:uid="{861E501C-399A-436B-B893-EB5155C0F3BE}" name="No of Products in one Sale" dataDxfId="80"/>
    <tableColumn id="9" xr3:uid="{C9CD15F4-319D-434D-BD43-0E11DFD65D1E}" name="Discount" dataDxfId="79">
      <calculatedColumnFormula>RAND()</calculatedColumnFormula>
    </tableColumn>
    <tableColumn id="10" xr3:uid="{3FD89428-E480-43B2-9B05-79042442E588}" name="Final Sale Price" dataDxfId="78">
      <calculatedColumnFormula>(Table3[[#This Row],[Price of One Product]]*Table3[[#This Row],[No of Products in one Sale]])-Table3[[#This Row],[Discount]]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20D4FCB-9A43-4E56-ADCF-89803EFBE33A}">
  <we:reference id="wa200005502" version="1.0.0.13" store="en-US" storeType="OMEX"/>
  <we:alternateReferences>
    <we:reference id="wa200005502" version="1.0.0.13" store="wa200005502" storeType="OMEX"/>
  </we:alternateReferences>
  <we:properties>
    <we:property name="docId" value="&quot;IIkowgr5t4RHHqfReFeAl&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A2ED3-1645-4E1E-B968-DA4FAD27528E}">
  <dimension ref="A1:J795"/>
  <sheetViews>
    <sheetView zoomScaleNormal="100" workbookViewId="0">
      <selection activeCell="L16" sqref="L16"/>
    </sheetView>
  </sheetViews>
  <sheetFormatPr defaultRowHeight="14.4" x14ac:dyDescent="0.3"/>
  <cols>
    <col min="1" max="1" width="10.88671875" bestFit="1" customWidth="1"/>
    <col min="2" max="2" width="12.33203125" customWidth="1"/>
    <col min="3" max="3" width="11.44140625" customWidth="1"/>
    <col min="4" max="4" width="28.6640625" bestFit="1" customWidth="1"/>
    <col min="5" max="5" width="13" customWidth="1"/>
    <col min="6" max="6" width="21.33203125" customWidth="1"/>
    <col min="7" max="7" width="15.33203125" bestFit="1" customWidth="1"/>
    <col min="8" max="8" width="26.33203125" customWidth="1"/>
    <col min="9" max="9" width="12.88671875" bestFit="1" customWidth="1"/>
    <col min="10" max="10" width="15.6640625" bestFit="1" customWidth="1"/>
  </cols>
  <sheetData>
    <row r="1" spans="1:10" x14ac:dyDescent="0.3">
      <c r="A1" t="s">
        <v>3</v>
      </c>
      <c r="B1" t="s">
        <v>50</v>
      </c>
      <c r="C1" t="s">
        <v>57</v>
      </c>
      <c r="D1" t="s">
        <v>58</v>
      </c>
      <c r="E1" t="s">
        <v>65</v>
      </c>
      <c r="F1" t="s">
        <v>68</v>
      </c>
      <c r="G1" t="s">
        <v>69</v>
      </c>
      <c r="H1" t="s">
        <v>70</v>
      </c>
      <c r="I1" t="s">
        <v>819</v>
      </c>
      <c r="J1" t="s">
        <v>857</v>
      </c>
    </row>
    <row r="2" spans="1:10" x14ac:dyDescent="0.3">
      <c r="A2" t="s">
        <v>4</v>
      </c>
      <c r="B2" t="s">
        <v>51</v>
      </c>
      <c r="C2" s="1">
        <v>44739</v>
      </c>
      <c r="D2" t="s">
        <v>59</v>
      </c>
      <c r="E2" t="s">
        <v>66</v>
      </c>
      <c r="F2">
        <v>72</v>
      </c>
      <c r="G2" t="s">
        <v>0</v>
      </c>
      <c r="H2" s="2">
        <v>8</v>
      </c>
      <c r="I2" s="3">
        <v>1.372080123313592E-2</v>
      </c>
      <c r="J2" s="4">
        <f>(Table3[[#This Row],[Price of One Product]]*Table3[[#This Row],[No of Products in one Sale]])-Table3[[#This Row],[Discount]]</f>
        <v>575.98627919876685</v>
      </c>
    </row>
    <row r="3" spans="1:10" x14ac:dyDescent="0.3">
      <c r="A3" t="s">
        <v>5</v>
      </c>
      <c r="B3" t="s">
        <v>52</v>
      </c>
      <c r="C3" s="1">
        <v>44740</v>
      </c>
      <c r="D3" t="s">
        <v>60</v>
      </c>
      <c r="E3" t="s">
        <v>67</v>
      </c>
      <c r="F3">
        <v>65</v>
      </c>
      <c r="G3" t="s">
        <v>1</v>
      </c>
      <c r="H3" s="2">
        <v>7</v>
      </c>
      <c r="I3" s="3">
        <v>2.2083854314921911E-2</v>
      </c>
      <c r="J3" s="4">
        <f>(Table3[[#This Row],[Price of One Product]]*Table3[[#This Row],[No of Products in one Sale]])-Table3[[#This Row],[Discount]]</f>
        <v>454.97791614568507</v>
      </c>
    </row>
    <row r="4" spans="1:10" x14ac:dyDescent="0.3">
      <c r="A4" t="s">
        <v>6</v>
      </c>
      <c r="B4" t="s">
        <v>53</v>
      </c>
      <c r="C4" s="1">
        <v>44734</v>
      </c>
      <c r="D4" t="s">
        <v>61</v>
      </c>
      <c r="E4" t="s">
        <v>66</v>
      </c>
      <c r="F4">
        <v>250</v>
      </c>
      <c r="G4" t="s">
        <v>2</v>
      </c>
      <c r="H4" s="2">
        <v>3</v>
      </c>
      <c r="I4" s="3">
        <v>0.92842323956324613</v>
      </c>
      <c r="J4" s="4">
        <f>(Table3[[#This Row],[Price of One Product]]*Table3[[#This Row],[No of Products in one Sale]])-Table3[[#This Row],[Discount]]</f>
        <v>749.07157676043676</v>
      </c>
    </row>
    <row r="5" spans="1:10" x14ac:dyDescent="0.3">
      <c r="A5" t="s">
        <v>7</v>
      </c>
      <c r="B5" t="s">
        <v>54</v>
      </c>
      <c r="C5" s="1">
        <v>44737</v>
      </c>
      <c r="D5" t="s">
        <v>62</v>
      </c>
      <c r="E5" t="s">
        <v>67</v>
      </c>
      <c r="F5">
        <v>130</v>
      </c>
      <c r="G5" t="s">
        <v>0</v>
      </c>
      <c r="H5" s="2">
        <v>5</v>
      </c>
      <c r="I5" s="3">
        <v>0.20990358910221096</v>
      </c>
      <c r="J5" s="4">
        <f>(Table3[[#This Row],[Price of One Product]]*Table3[[#This Row],[No of Products in one Sale]])-Table3[[#This Row],[Discount]]</f>
        <v>649.79009641089783</v>
      </c>
    </row>
    <row r="6" spans="1:10" x14ac:dyDescent="0.3">
      <c r="A6" t="s">
        <v>8</v>
      </c>
      <c r="B6" t="s">
        <v>51</v>
      </c>
      <c r="C6" s="1">
        <v>44735</v>
      </c>
      <c r="D6" t="s">
        <v>59</v>
      </c>
      <c r="E6" t="s">
        <v>66</v>
      </c>
      <c r="F6">
        <v>72</v>
      </c>
      <c r="G6" t="s">
        <v>1</v>
      </c>
      <c r="H6" s="2">
        <v>4</v>
      </c>
      <c r="I6" s="3">
        <v>0.184343159134289</v>
      </c>
      <c r="J6" s="4">
        <f>(Table3[[#This Row],[Price of One Product]]*Table3[[#This Row],[No of Products in one Sale]])-Table3[[#This Row],[Discount]]</f>
        <v>287.8156568408657</v>
      </c>
    </row>
    <row r="7" spans="1:10" x14ac:dyDescent="0.3">
      <c r="A7" t="s">
        <v>9</v>
      </c>
      <c r="B7" t="s">
        <v>52</v>
      </c>
      <c r="C7" s="1">
        <v>44727</v>
      </c>
      <c r="D7" t="s">
        <v>60</v>
      </c>
      <c r="E7" t="s">
        <v>67</v>
      </c>
      <c r="F7">
        <v>65</v>
      </c>
      <c r="G7" t="s">
        <v>2</v>
      </c>
      <c r="H7" s="2">
        <v>8</v>
      </c>
      <c r="I7" s="3">
        <v>0.11144429073382323</v>
      </c>
      <c r="J7" s="4">
        <f>(Table3[[#This Row],[Price of One Product]]*Table3[[#This Row],[No of Products in one Sale]])-Table3[[#This Row],[Discount]]</f>
        <v>519.88855570926614</v>
      </c>
    </row>
    <row r="8" spans="1:10" x14ac:dyDescent="0.3">
      <c r="A8" t="s">
        <v>10</v>
      </c>
      <c r="B8" t="s">
        <v>53</v>
      </c>
      <c r="C8" s="1">
        <v>44740</v>
      </c>
      <c r="D8" t="s">
        <v>61</v>
      </c>
      <c r="E8" t="s">
        <v>66</v>
      </c>
      <c r="F8">
        <v>250</v>
      </c>
      <c r="G8" t="s">
        <v>0</v>
      </c>
      <c r="H8" s="2">
        <v>3</v>
      </c>
      <c r="I8" s="3">
        <v>0.56286929186816415</v>
      </c>
      <c r="J8" s="4">
        <f>(Table3[[#This Row],[Price of One Product]]*Table3[[#This Row],[No of Products in one Sale]])-Table3[[#This Row],[Discount]]</f>
        <v>749.4371307081318</v>
      </c>
    </row>
    <row r="9" spans="1:10" x14ac:dyDescent="0.3">
      <c r="A9" t="s">
        <v>11</v>
      </c>
      <c r="B9" t="s">
        <v>54</v>
      </c>
      <c r="C9" s="1">
        <v>44725</v>
      </c>
      <c r="D9" t="s">
        <v>62</v>
      </c>
      <c r="E9" t="s">
        <v>67</v>
      </c>
      <c r="F9">
        <v>130</v>
      </c>
      <c r="G9" t="s">
        <v>1</v>
      </c>
      <c r="H9" s="2">
        <v>6</v>
      </c>
      <c r="I9" s="3">
        <v>3.138956050307417E-2</v>
      </c>
      <c r="J9" s="4">
        <f>(Table3[[#This Row],[Price of One Product]]*Table3[[#This Row],[No of Products in one Sale]])-Table3[[#This Row],[Discount]]</f>
        <v>779.96861043949696</v>
      </c>
    </row>
    <row r="10" spans="1:10" x14ac:dyDescent="0.3">
      <c r="A10" t="s">
        <v>12</v>
      </c>
      <c r="B10" t="s">
        <v>55</v>
      </c>
      <c r="C10" s="1">
        <v>44736</v>
      </c>
      <c r="D10" t="s">
        <v>63</v>
      </c>
      <c r="E10" t="s">
        <v>66</v>
      </c>
      <c r="F10">
        <v>60</v>
      </c>
      <c r="G10" t="s">
        <v>2</v>
      </c>
      <c r="H10" s="2">
        <v>7</v>
      </c>
      <c r="I10" s="3">
        <v>0.23798278495106248</v>
      </c>
      <c r="J10" s="4">
        <f>(Table3[[#This Row],[Price of One Product]]*Table3[[#This Row],[No of Products in one Sale]])-Table3[[#This Row],[Discount]]</f>
        <v>419.76201721504896</v>
      </c>
    </row>
    <row r="11" spans="1:10" x14ac:dyDescent="0.3">
      <c r="A11" t="s">
        <v>13</v>
      </c>
      <c r="B11" t="s">
        <v>51</v>
      </c>
      <c r="C11" s="1">
        <v>44725</v>
      </c>
      <c r="D11" t="s">
        <v>59</v>
      </c>
      <c r="E11" t="s">
        <v>67</v>
      </c>
      <c r="F11">
        <v>72</v>
      </c>
      <c r="G11" t="s">
        <v>0</v>
      </c>
      <c r="H11" s="2">
        <v>9</v>
      </c>
      <c r="I11" s="3">
        <v>0.19712344024473996</v>
      </c>
      <c r="J11" s="4">
        <f>(Table3[[#This Row],[Price of One Product]]*Table3[[#This Row],[No of Products in one Sale]])-Table3[[#This Row],[Discount]]</f>
        <v>647.8028765597553</v>
      </c>
    </row>
    <row r="12" spans="1:10" x14ac:dyDescent="0.3">
      <c r="A12" t="s">
        <v>14</v>
      </c>
      <c r="B12" t="s">
        <v>52</v>
      </c>
      <c r="C12" s="1">
        <v>44734</v>
      </c>
      <c r="D12" t="s">
        <v>60</v>
      </c>
      <c r="E12" t="s">
        <v>66</v>
      </c>
      <c r="F12">
        <v>65</v>
      </c>
      <c r="G12" t="s">
        <v>1</v>
      </c>
      <c r="H12" s="2">
        <v>4</v>
      </c>
      <c r="I12" s="3">
        <v>6.8295799738434873E-2</v>
      </c>
      <c r="J12" s="4">
        <f>(Table3[[#This Row],[Price of One Product]]*Table3[[#This Row],[No of Products in one Sale]])-Table3[[#This Row],[Discount]]</f>
        <v>259.93170420026155</v>
      </c>
    </row>
    <row r="13" spans="1:10" x14ac:dyDescent="0.3">
      <c r="A13" t="s">
        <v>15</v>
      </c>
      <c r="B13" t="s">
        <v>53</v>
      </c>
      <c r="C13" s="1">
        <v>44731</v>
      </c>
      <c r="D13" t="s">
        <v>61</v>
      </c>
      <c r="E13" t="s">
        <v>67</v>
      </c>
      <c r="F13">
        <v>250</v>
      </c>
      <c r="G13" t="s">
        <v>2</v>
      </c>
      <c r="H13" s="2">
        <v>3</v>
      </c>
      <c r="I13" s="3">
        <v>1.6828522965904168E-2</v>
      </c>
      <c r="J13" s="4">
        <f>(Table3[[#This Row],[Price of One Product]]*Table3[[#This Row],[No of Products in one Sale]])-Table3[[#This Row],[Discount]]</f>
        <v>749.98317147703415</v>
      </c>
    </row>
    <row r="14" spans="1:10" x14ac:dyDescent="0.3">
      <c r="A14" t="s">
        <v>16</v>
      </c>
      <c r="B14" t="s">
        <v>54</v>
      </c>
      <c r="C14" s="1">
        <v>44730</v>
      </c>
      <c r="D14" t="s">
        <v>62</v>
      </c>
      <c r="E14" t="s">
        <v>66</v>
      </c>
      <c r="F14">
        <v>130</v>
      </c>
      <c r="G14" t="s">
        <v>0</v>
      </c>
      <c r="H14" s="2">
        <v>5</v>
      </c>
      <c r="I14" s="3">
        <v>0.26661284065553453</v>
      </c>
      <c r="J14" s="4">
        <f>(Table3[[#This Row],[Price of One Product]]*Table3[[#This Row],[No of Products in one Sale]])-Table3[[#This Row],[Discount]]</f>
        <v>649.73338715934449</v>
      </c>
    </row>
    <row r="15" spans="1:10" x14ac:dyDescent="0.3">
      <c r="A15" t="s">
        <v>17</v>
      </c>
      <c r="B15" t="s">
        <v>51</v>
      </c>
      <c r="C15" s="1">
        <v>44735</v>
      </c>
      <c r="D15" t="s">
        <v>59</v>
      </c>
      <c r="E15" t="s">
        <v>67</v>
      </c>
      <c r="F15">
        <v>72</v>
      </c>
      <c r="G15" t="s">
        <v>1</v>
      </c>
      <c r="H15" s="2">
        <v>12</v>
      </c>
      <c r="I15" s="3">
        <v>0.21251347110701568</v>
      </c>
      <c r="J15" s="4">
        <f>(Table3[[#This Row],[Price of One Product]]*Table3[[#This Row],[No of Products in one Sale]])-Table3[[#This Row],[Discount]]</f>
        <v>863.78748652889294</v>
      </c>
    </row>
    <row r="16" spans="1:10" x14ac:dyDescent="0.3">
      <c r="A16" t="s">
        <v>18</v>
      </c>
      <c r="B16" t="s">
        <v>52</v>
      </c>
      <c r="C16" s="1">
        <v>44738</v>
      </c>
      <c r="D16" t="s">
        <v>60</v>
      </c>
      <c r="E16" t="s">
        <v>66</v>
      </c>
      <c r="F16">
        <v>65</v>
      </c>
      <c r="G16" t="s">
        <v>2</v>
      </c>
      <c r="H16" s="2">
        <v>4</v>
      </c>
      <c r="I16" s="3">
        <v>0.10994257661413849</v>
      </c>
      <c r="J16" s="4">
        <f>(Table3[[#This Row],[Price of One Product]]*Table3[[#This Row],[No of Products in one Sale]])-Table3[[#This Row],[Discount]]</f>
        <v>259.89005742338588</v>
      </c>
    </row>
    <row r="17" spans="1:10" x14ac:dyDescent="0.3">
      <c r="A17" t="s">
        <v>19</v>
      </c>
      <c r="B17" t="s">
        <v>53</v>
      </c>
      <c r="C17" s="1">
        <v>44738</v>
      </c>
      <c r="D17" t="s">
        <v>61</v>
      </c>
      <c r="E17" t="s">
        <v>67</v>
      </c>
      <c r="F17">
        <v>250</v>
      </c>
      <c r="G17" t="s">
        <v>0</v>
      </c>
      <c r="H17" s="2">
        <v>3</v>
      </c>
      <c r="I17" s="3">
        <v>0.53607498908607099</v>
      </c>
      <c r="J17" s="4">
        <f>(Table3[[#This Row],[Price of One Product]]*Table3[[#This Row],[No of Products in one Sale]])-Table3[[#This Row],[Discount]]</f>
        <v>749.46392501091395</v>
      </c>
    </row>
    <row r="18" spans="1:10" x14ac:dyDescent="0.3">
      <c r="A18" t="s">
        <v>20</v>
      </c>
      <c r="B18" t="s">
        <v>54</v>
      </c>
      <c r="C18" s="1">
        <v>44725</v>
      </c>
      <c r="D18" t="s">
        <v>62</v>
      </c>
      <c r="E18" t="s">
        <v>66</v>
      </c>
      <c r="F18">
        <v>130</v>
      </c>
      <c r="G18" t="s">
        <v>1</v>
      </c>
      <c r="H18" s="2">
        <v>5</v>
      </c>
      <c r="I18" s="3">
        <v>3.7515550327758003E-2</v>
      </c>
      <c r="J18" s="4">
        <f>(Table3[[#This Row],[Price of One Product]]*Table3[[#This Row],[No of Products in one Sale]])-Table3[[#This Row],[Discount]]</f>
        <v>649.96248444967227</v>
      </c>
    </row>
    <row r="19" spans="1:10" x14ac:dyDescent="0.3">
      <c r="A19" t="s">
        <v>21</v>
      </c>
      <c r="B19" t="s">
        <v>55</v>
      </c>
      <c r="C19" s="1">
        <v>44730</v>
      </c>
      <c r="D19" t="s">
        <v>63</v>
      </c>
      <c r="E19" t="s">
        <v>66</v>
      </c>
      <c r="F19">
        <v>60</v>
      </c>
      <c r="G19" t="s">
        <v>2</v>
      </c>
      <c r="H19" s="2">
        <v>13</v>
      </c>
      <c r="I19" s="3">
        <v>2.4938289886663061E-2</v>
      </c>
      <c r="J19" s="4">
        <f>(Table3[[#This Row],[Price of One Product]]*Table3[[#This Row],[No of Products in one Sale]])-Table3[[#This Row],[Discount]]</f>
        <v>779.97506171011332</v>
      </c>
    </row>
    <row r="20" spans="1:10" x14ac:dyDescent="0.3">
      <c r="A20" t="s">
        <v>22</v>
      </c>
      <c r="B20" t="s">
        <v>56</v>
      </c>
      <c r="C20" s="1">
        <v>44738</v>
      </c>
      <c r="D20" t="s">
        <v>64</v>
      </c>
      <c r="E20" t="s">
        <v>67</v>
      </c>
      <c r="F20">
        <v>95</v>
      </c>
      <c r="G20" t="s">
        <v>0</v>
      </c>
      <c r="H20" s="2">
        <v>5</v>
      </c>
      <c r="I20" s="3">
        <v>1.0123391970414241E-2</v>
      </c>
      <c r="J20" s="4">
        <f>(Table3[[#This Row],[Price of One Product]]*Table3[[#This Row],[No of Products in one Sale]])-Table3[[#This Row],[Discount]]</f>
        <v>474.98987660802959</v>
      </c>
    </row>
    <row r="21" spans="1:10" x14ac:dyDescent="0.3">
      <c r="A21" t="s">
        <v>23</v>
      </c>
      <c r="B21" t="s">
        <v>51</v>
      </c>
      <c r="C21" s="1">
        <v>44730</v>
      </c>
      <c r="D21" t="s">
        <v>59</v>
      </c>
      <c r="E21" t="s">
        <v>67</v>
      </c>
      <c r="F21">
        <v>72</v>
      </c>
      <c r="G21" t="s">
        <v>1</v>
      </c>
      <c r="H21" s="2">
        <v>5</v>
      </c>
      <c r="I21" s="3">
        <v>0.1308869366379137</v>
      </c>
      <c r="J21" s="4">
        <f>(Table3[[#This Row],[Price of One Product]]*Table3[[#This Row],[No of Products in one Sale]])-Table3[[#This Row],[Discount]]</f>
        <v>359.86911306336208</v>
      </c>
    </row>
    <row r="22" spans="1:10" x14ac:dyDescent="0.3">
      <c r="A22" t="s">
        <v>24</v>
      </c>
      <c r="B22" t="s">
        <v>52</v>
      </c>
      <c r="C22" s="1">
        <v>44738</v>
      </c>
      <c r="D22" t="s">
        <v>60</v>
      </c>
      <c r="E22" t="s">
        <v>67</v>
      </c>
      <c r="F22">
        <v>65</v>
      </c>
      <c r="G22" t="s">
        <v>2</v>
      </c>
      <c r="H22" s="2">
        <v>4</v>
      </c>
      <c r="I22" s="3">
        <v>6.6961969492996459E-2</v>
      </c>
      <c r="J22" s="4">
        <f>(Table3[[#This Row],[Price of One Product]]*Table3[[#This Row],[No of Products in one Sale]])-Table3[[#This Row],[Discount]]</f>
        <v>259.93303803050702</v>
      </c>
    </row>
    <row r="23" spans="1:10" x14ac:dyDescent="0.3">
      <c r="A23" t="s">
        <v>25</v>
      </c>
      <c r="B23" t="s">
        <v>53</v>
      </c>
      <c r="C23" s="1">
        <v>44734</v>
      </c>
      <c r="D23" t="s">
        <v>61</v>
      </c>
      <c r="E23" t="s">
        <v>66</v>
      </c>
      <c r="F23">
        <v>250</v>
      </c>
      <c r="G23" t="s">
        <v>0</v>
      </c>
      <c r="H23" s="2">
        <v>3</v>
      </c>
      <c r="I23" s="3">
        <v>0.36350761794645753</v>
      </c>
      <c r="J23" s="4">
        <f>(Table3[[#This Row],[Price of One Product]]*Table3[[#This Row],[No of Products in one Sale]])-Table3[[#This Row],[Discount]]</f>
        <v>749.63649238205358</v>
      </c>
    </row>
    <row r="24" spans="1:10" x14ac:dyDescent="0.3">
      <c r="A24" t="s">
        <v>26</v>
      </c>
      <c r="B24" t="s">
        <v>54</v>
      </c>
      <c r="C24" s="1">
        <v>44729</v>
      </c>
      <c r="D24" t="s">
        <v>62</v>
      </c>
      <c r="E24" t="s">
        <v>66</v>
      </c>
      <c r="F24">
        <v>130</v>
      </c>
      <c r="G24" t="s">
        <v>1</v>
      </c>
      <c r="H24" s="2">
        <v>6</v>
      </c>
      <c r="I24" s="3">
        <v>0.30841415491993102</v>
      </c>
      <c r="J24" s="4">
        <f>(Table3[[#This Row],[Price of One Product]]*Table3[[#This Row],[No of Products in one Sale]])-Table3[[#This Row],[Discount]]</f>
        <v>779.69158584508011</v>
      </c>
    </row>
    <row r="25" spans="1:10" x14ac:dyDescent="0.3">
      <c r="A25" t="s">
        <v>27</v>
      </c>
      <c r="B25" t="s">
        <v>51</v>
      </c>
      <c r="C25" s="1">
        <v>44730</v>
      </c>
      <c r="D25" t="s">
        <v>59</v>
      </c>
      <c r="E25" t="s">
        <v>66</v>
      </c>
      <c r="F25">
        <v>72</v>
      </c>
      <c r="G25" t="s">
        <v>2</v>
      </c>
      <c r="H25" s="2">
        <v>8</v>
      </c>
      <c r="I25" s="3">
        <v>0.21287301321989574</v>
      </c>
      <c r="J25" s="4">
        <f>(Table3[[#This Row],[Price of One Product]]*Table3[[#This Row],[No of Products in one Sale]])-Table3[[#This Row],[Discount]]</f>
        <v>575.78712698678009</v>
      </c>
    </row>
    <row r="26" spans="1:10" x14ac:dyDescent="0.3">
      <c r="A26" t="s">
        <v>28</v>
      </c>
      <c r="B26" t="s">
        <v>52</v>
      </c>
      <c r="C26" s="1">
        <v>44728</v>
      </c>
      <c r="D26" t="s">
        <v>60</v>
      </c>
      <c r="E26" t="s">
        <v>66</v>
      </c>
      <c r="F26">
        <v>65</v>
      </c>
      <c r="G26" t="s">
        <v>0</v>
      </c>
      <c r="H26" s="2">
        <v>5</v>
      </c>
      <c r="I26" s="3">
        <v>0.11047742601795077</v>
      </c>
      <c r="J26" s="4">
        <f>(Table3[[#This Row],[Price of One Product]]*Table3[[#This Row],[No of Products in one Sale]])-Table3[[#This Row],[Discount]]</f>
        <v>324.88952257398205</v>
      </c>
    </row>
    <row r="27" spans="1:10" x14ac:dyDescent="0.3">
      <c r="A27" t="s">
        <v>29</v>
      </c>
      <c r="B27" t="s">
        <v>53</v>
      </c>
      <c r="C27" s="1">
        <v>44735</v>
      </c>
      <c r="D27" t="s">
        <v>61</v>
      </c>
      <c r="E27" t="s">
        <v>66</v>
      </c>
      <c r="F27">
        <v>250</v>
      </c>
      <c r="G27" t="s">
        <v>1</v>
      </c>
      <c r="H27" s="2">
        <v>2</v>
      </c>
      <c r="I27" s="3">
        <v>4.8799156151631218E-2</v>
      </c>
      <c r="J27" s="4">
        <f>(Table3[[#This Row],[Price of One Product]]*Table3[[#This Row],[No of Products in one Sale]])-Table3[[#This Row],[Discount]]</f>
        <v>499.95120084384837</v>
      </c>
    </row>
    <row r="28" spans="1:10" x14ac:dyDescent="0.3">
      <c r="A28" t="s">
        <v>35</v>
      </c>
      <c r="B28" t="s">
        <v>54</v>
      </c>
      <c r="C28" s="1">
        <v>44738</v>
      </c>
      <c r="D28" t="s">
        <v>62</v>
      </c>
      <c r="E28" t="s">
        <v>66</v>
      </c>
      <c r="F28">
        <v>130</v>
      </c>
      <c r="G28" t="s">
        <v>2</v>
      </c>
      <c r="H28" s="2">
        <v>3</v>
      </c>
      <c r="I28" s="3">
        <v>0.27879506176921365</v>
      </c>
      <c r="J28" s="4">
        <f>(Table3[[#This Row],[Price of One Product]]*Table3[[#This Row],[No of Products in one Sale]])-Table3[[#This Row],[Discount]]</f>
        <v>389.72120493823081</v>
      </c>
    </row>
    <row r="29" spans="1:10" x14ac:dyDescent="0.3">
      <c r="A29" t="s">
        <v>30</v>
      </c>
      <c r="B29" t="s">
        <v>55</v>
      </c>
      <c r="C29" s="1">
        <v>44738</v>
      </c>
      <c r="D29" t="s">
        <v>63</v>
      </c>
      <c r="E29" t="s">
        <v>66</v>
      </c>
      <c r="F29">
        <v>60</v>
      </c>
      <c r="G29" t="s">
        <v>0</v>
      </c>
      <c r="H29" s="2">
        <v>14</v>
      </c>
      <c r="I29" s="3">
        <v>7.6045534046593019E-2</v>
      </c>
      <c r="J29" s="4">
        <f>(Table3[[#This Row],[Price of One Product]]*Table3[[#This Row],[No of Products in one Sale]])-Table3[[#This Row],[Discount]]</f>
        <v>839.92395446595344</v>
      </c>
    </row>
    <row r="30" spans="1:10" x14ac:dyDescent="0.3">
      <c r="A30" t="s">
        <v>31</v>
      </c>
      <c r="B30" t="s">
        <v>51</v>
      </c>
      <c r="C30" s="1">
        <v>44734</v>
      </c>
      <c r="D30" t="s">
        <v>59</v>
      </c>
      <c r="E30" t="s">
        <v>66</v>
      </c>
      <c r="F30">
        <v>72</v>
      </c>
      <c r="G30" t="s">
        <v>1</v>
      </c>
      <c r="H30" s="2">
        <v>12</v>
      </c>
      <c r="I30" s="3">
        <v>0.12055762754740325</v>
      </c>
      <c r="J30" s="4">
        <f>(Table3[[#This Row],[Price of One Product]]*Table3[[#This Row],[No of Products in one Sale]])-Table3[[#This Row],[Discount]]</f>
        <v>863.87944237245256</v>
      </c>
    </row>
    <row r="31" spans="1:10" x14ac:dyDescent="0.3">
      <c r="A31" t="s">
        <v>32</v>
      </c>
      <c r="B31" t="s">
        <v>52</v>
      </c>
      <c r="C31" s="1">
        <v>44727</v>
      </c>
      <c r="D31" t="s">
        <v>60</v>
      </c>
      <c r="E31" t="s">
        <v>66</v>
      </c>
      <c r="F31">
        <v>65</v>
      </c>
      <c r="G31" t="s">
        <v>2</v>
      </c>
      <c r="H31" s="2">
        <v>5</v>
      </c>
      <c r="I31" s="3">
        <v>0.30283946337780637</v>
      </c>
      <c r="J31" s="4">
        <f>(Table3[[#This Row],[Price of One Product]]*Table3[[#This Row],[No of Products in one Sale]])-Table3[[#This Row],[Discount]]</f>
        <v>324.69716053662222</v>
      </c>
    </row>
    <row r="32" spans="1:10" x14ac:dyDescent="0.3">
      <c r="A32" t="s">
        <v>33</v>
      </c>
      <c r="B32" t="s">
        <v>53</v>
      </c>
      <c r="C32" s="1">
        <v>44729</v>
      </c>
      <c r="D32" t="s">
        <v>61</v>
      </c>
      <c r="E32" t="s">
        <v>67</v>
      </c>
      <c r="F32">
        <v>250</v>
      </c>
      <c r="G32" t="s">
        <v>0</v>
      </c>
      <c r="H32" s="2">
        <v>1</v>
      </c>
      <c r="I32" s="3">
        <v>0.41401829873258272</v>
      </c>
      <c r="J32" s="4">
        <f>(Table3[[#This Row],[Price of One Product]]*Table3[[#This Row],[No of Products in one Sale]])-Table3[[#This Row],[Discount]]</f>
        <v>249.58598170126743</v>
      </c>
    </row>
    <row r="33" spans="1:10" x14ac:dyDescent="0.3">
      <c r="A33" t="s">
        <v>34</v>
      </c>
      <c r="B33" t="s">
        <v>54</v>
      </c>
      <c r="C33" s="1">
        <v>44726</v>
      </c>
      <c r="D33" t="s">
        <v>62</v>
      </c>
      <c r="E33" t="s">
        <v>66</v>
      </c>
      <c r="F33">
        <v>130</v>
      </c>
      <c r="G33" t="s">
        <v>1</v>
      </c>
      <c r="H33" s="2">
        <v>4</v>
      </c>
      <c r="I33" s="3">
        <v>6.1603660271292333E-3</v>
      </c>
      <c r="J33" s="4">
        <f>(Table3[[#This Row],[Price of One Product]]*Table3[[#This Row],[No of Products in one Sale]])-Table3[[#This Row],[Discount]]</f>
        <v>519.99383963397293</v>
      </c>
    </row>
    <row r="34" spans="1:10" x14ac:dyDescent="0.3">
      <c r="A34" t="s">
        <v>36</v>
      </c>
      <c r="B34" t="s">
        <v>51</v>
      </c>
      <c r="C34" s="1">
        <v>44733</v>
      </c>
      <c r="D34" t="s">
        <v>59</v>
      </c>
      <c r="E34" t="s">
        <v>66</v>
      </c>
      <c r="F34">
        <v>72</v>
      </c>
      <c r="G34" t="s">
        <v>2</v>
      </c>
      <c r="H34" s="2">
        <v>8</v>
      </c>
      <c r="I34" s="3">
        <v>0.10495963672233184</v>
      </c>
      <c r="J34" s="4">
        <f>(Table3[[#This Row],[Price of One Product]]*Table3[[#This Row],[No of Products in one Sale]])-Table3[[#This Row],[Discount]]</f>
        <v>575.89504036327764</v>
      </c>
    </row>
    <row r="35" spans="1:10" x14ac:dyDescent="0.3">
      <c r="A35" t="s">
        <v>37</v>
      </c>
      <c r="B35" t="s">
        <v>52</v>
      </c>
      <c r="C35" s="1">
        <v>44730</v>
      </c>
      <c r="D35" t="s">
        <v>60</v>
      </c>
      <c r="E35" t="s">
        <v>66</v>
      </c>
      <c r="F35">
        <v>65</v>
      </c>
      <c r="G35" t="s">
        <v>0</v>
      </c>
      <c r="H35" s="2">
        <v>12</v>
      </c>
      <c r="I35" s="3">
        <v>0.29377273906475571</v>
      </c>
      <c r="J35" s="4">
        <f>(Table3[[#This Row],[Price of One Product]]*Table3[[#This Row],[No of Products in one Sale]])-Table3[[#This Row],[Discount]]</f>
        <v>779.70622726093529</v>
      </c>
    </row>
    <row r="36" spans="1:10" x14ac:dyDescent="0.3">
      <c r="A36" t="s">
        <v>38</v>
      </c>
      <c r="B36" t="s">
        <v>53</v>
      </c>
      <c r="C36" s="1">
        <v>44736</v>
      </c>
      <c r="D36" t="s">
        <v>61</v>
      </c>
      <c r="E36" t="s">
        <v>66</v>
      </c>
      <c r="F36">
        <v>250</v>
      </c>
      <c r="G36" t="s">
        <v>1</v>
      </c>
      <c r="H36" s="2">
        <v>3</v>
      </c>
      <c r="I36" s="3">
        <v>0.56559810101924179</v>
      </c>
      <c r="J36" s="4">
        <f>(Table3[[#This Row],[Price of One Product]]*Table3[[#This Row],[No of Products in one Sale]])-Table3[[#This Row],[Discount]]</f>
        <v>749.43440189898081</v>
      </c>
    </row>
    <row r="37" spans="1:10" x14ac:dyDescent="0.3">
      <c r="A37" t="s">
        <v>39</v>
      </c>
      <c r="B37" t="s">
        <v>54</v>
      </c>
      <c r="C37" s="1">
        <v>44732</v>
      </c>
      <c r="D37" t="s">
        <v>62</v>
      </c>
      <c r="E37" t="s">
        <v>66</v>
      </c>
      <c r="F37">
        <v>130</v>
      </c>
      <c r="G37" t="s">
        <v>2</v>
      </c>
      <c r="H37" s="2">
        <v>3</v>
      </c>
      <c r="I37" s="3">
        <v>0.14180367825735268</v>
      </c>
      <c r="J37" s="4">
        <f>(Table3[[#This Row],[Price of One Product]]*Table3[[#This Row],[No of Products in one Sale]])-Table3[[#This Row],[Discount]]</f>
        <v>389.85819632174264</v>
      </c>
    </row>
    <row r="38" spans="1:10" x14ac:dyDescent="0.3">
      <c r="A38" t="s">
        <v>40</v>
      </c>
      <c r="B38" t="s">
        <v>55</v>
      </c>
      <c r="C38" s="1">
        <v>44732</v>
      </c>
      <c r="D38" t="s">
        <v>63</v>
      </c>
      <c r="E38" t="s">
        <v>67</v>
      </c>
      <c r="F38">
        <v>60</v>
      </c>
      <c r="G38" t="s">
        <v>0</v>
      </c>
      <c r="H38" s="2">
        <v>11</v>
      </c>
      <c r="I38" s="3">
        <v>0.19727585407121537</v>
      </c>
      <c r="J38" s="4">
        <f>(Table3[[#This Row],[Price of One Product]]*Table3[[#This Row],[No of Products in one Sale]])-Table3[[#This Row],[Discount]]</f>
        <v>659.80272414592878</v>
      </c>
    </row>
    <row r="39" spans="1:10" x14ac:dyDescent="0.3">
      <c r="A39" t="s">
        <v>41</v>
      </c>
      <c r="B39" t="s">
        <v>56</v>
      </c>
      <c r="C39" s="1">
        <v>44731</v>
      </c>
      <c r="D39" t="s">
        <v>64</v>
      </c>
      <c r="E39" t="s">
        <v>66</v>
      </c>
      <c r="F39">
        <v>95</v>
      </c>
      <c r="G39" t="s">
        <v>1</v>
      </c>
      <c r="H39" s="2">
        <v>8</v>
      </c>
      <c r="I39" s="3">
        <v>0.16026707373910823</v>
      </c>
      <c r="J39" s="4">
        <f>(Table3[[#This Row],[Price of One Product]]*Table3[[#This Row],[No of Products in one Sale]])-Table3[[#This Row],[Discount]]</f>
        <v>759.83973292626092</v>
      </c>
    </row>
    <row r="40" spans="1:10" x14ac:dyDescent="0.3">
      <c r="A40" t="s">
        <v>42</v>
      </c>
      <c r="B40" t="s">
        <v>51</v>
      </c>
      <c r="C40" s="1">
        <v>44735</v>
      </c>
      <c r="D40" t="s">
        <v>59</v>
      </c>
      <c r="E40" t="s">
        <v>66</v>
      </c>
      <c r="F40">
        <v>72</v>
      </c>
      <c r="G40" t="s">
        <v>2</v>
      </c>
      <c r="H40" s="2">
        <v>5</v>
      </c>
      <c r="I40" s="3">
        <v>3.6754234817017679E-2</v>
      </c>
      <c r="J40" s="4">
        <f>(Table3[[#This Row],[Price of One Product]]*Table3[[#This Row],[No of Products in one Sale]])-Table3[[#This Row],[Discount]]</f>
        <v>359.96324576518299</v>
      </c>
    </row>
    <row r="41" spans="1:10" x14ac:dyDescent="0.3">
      <c r="A41" t="s">
        <v>43</v>
      </c>
      <c r="B41" t="s">
        <v>52</v>
      </c>
      <c r="C41" s="1">
        <v>44728</v>
      </c>
      <c r="D41" t="s">
        <v>60</v>
      </c>
      <c r="E41" t="s">
        <v>66</v>
      </c>
      <c r="F41">
        <v>65</v>
      </c>
      <c r="G41" t="s">
        <v>0</v>
      </c>
      <c r="H41" s="2">
        <v>6</v>
      </c>
      <c r="I41" s="3">
        <v>0.12047427034169578</v>
      </c>
      <c r="J41" s="4">
        <f>(Table3[[#This Row],[Price of One Product]]*Table3[[#This Row],[No of Products in one Sale]])-Table3[[#This Row],[Discount]]</f>
        <v>389.87952572965833</v>
      </c>
    </row>
    <row r="42" spans="1:10" x14ac:dyDescent="0.3">
      <c r="A42" t="s">
        <v>44</v>
      </c>
      <c r="B42" t="s">
        <v>53</v>
      </c>
      <c r="C42" s="1">
        <v>44727</v>
      </c>
      <c r="D42" t="s">
        <v>61</v>
      </c>
      <c r="E42" t="s">
        <v>67</v>
      </c>
      <c r="F42">
        <v>250</v>
      </c>
      <c r="G42" t="s">
        <v>1</v>
      </c>
      <c r="H42" s="2">
        <v>1</v>
      </c>
      <c r="I42" s="3">
        <v>0.38636401364592987</v>
      </c>
      <c r="J42" s="4">
        <f>(Table3[[#This Row],[Price of One Product]]*Table3[[#This Row],[No of Products in one Sale]])-Table3[[#This Row],[Discount]]</f>
        <v>249.61363598635407</v>
      </c>
    </row>
    <row r="43" spans="1:10" x14ac:dyDescent="0.3">
      <c r="A43" t="s">
        <v>45</v>
      </c>
      <c r="B43" t="s">
        <v>54</v>
      </c>
      <c r="C43" s="1">
        <v>44731</v>
      </c>
      <c r="D43" t="s">
        <v>62</v>
      </c>
      <c r="E43" t="s">
        <v>67</v>
      </c>
      <c r="F43">
        <v>130</v>
      </c>
      <c r="G43" t="s">
        <v>2</v>
      </c>
      <c r="H43" s="2">
        <v>7</v>
      </c>
      <c r="I43" s="3">
        <v>0.25111930985495906</v>
      </c>
      <c r="J43" s="4">
        <f>(Table3[[#This Row],[Price of One Product]]*Table3[[#This Row],[No of Products in one Sale]])-Table3[[#This Row],[Discount]]</f>
        <v>909.74888069014503</v>
      </c>
    </row>
    <row r="44" spans="1:10" x14ac:dyDescent="0.3">
      <c r="A44" t="s">
        <v>46</v>
      </c>
      <c r="B44" t="s">
        <v>51</v>
      </c>
      <c r="C44" s="1">
        <v>44732</v>
      </c>
      <c r="D44" t="s">
        <v>59</v>
      </c>
      <c r="E44" t="s">
        <v>67</v>
      </c>
      <c r="F44">
        <v>72</v>
      </c>
      <c r="G44" t="s">
        <v>0</v>
      </c>
      <c r="H44" s="2">
        <v>7</v>
      </c>
      <c r="I44" s="3">
        <v>0.18099169049889144</v>
      </c>
      <c r="J44" s="4">
        <f>(Table3[[#This Row],[Price of One Product]]*Table3[[#This Row],[No of Products in one Sale]])-Table3[[#This Row],[Discount]]</f>
        <v>503.8190083095011</v>
      </c>
    </row>
    <row r="45" spans="1:10" x14ac:dyDescent="0.3">
      <c r="A45" t="s">
        <v>47</v>
      </c>
      <c r="B45" t="s">
        <v>52</v>
      </c>
      <c r="C45" s="1">
        <v>44738</v>
      </c>
      <c r="D45" t="s">
        <v>60</v>
      </c>
      <c r="E45" t="s">
        <v>67</v>
      </c>
      <c r="F45">
        <v>65</v>
      </c>
      <c r="G45" t="s">
        <v>1</v>
      </c>
      <c r="H45" s="2">
        <v>3</v>
      </c>
      <c r="I45" s="3">
        <v>0.17363786365000505</v>
      </c>
      <c r="J45" s="4">
        <f>(Table3[[#This Row],[Price of One Product]]*Table3[[#This Row],[No of Products in one Sale]])-Table3[[#This Row],[Discount]]</f>
        <v>194.82636213634999</v>
      </c>
    </row>
    <row r="46" spans="1:10" x14ac:dyDescent="0.3">
      <c r="A46" t="s">
        <v>48</v>
      </c>
      <c r="B46" t="s">
        <v>53</v>
      </c>
      <c r="C46" s="1">
        <v>44730</v>
      </c>
      <c r="D46" t="s">
        <v>61</v>
      </c>
      <c r="E46" t="s">
        <v>67</v>
      </c>
      <c r="F46">
        <v>250</v>
      </c>
      <c r="G46" t="s">
        <v>2</v>
      </c>
      <c r="H46" s="2">
        <v>1</v>
      </c>
      <c r="I46" s="3">
        <v>0.75489814137474298</v>
      </c>
      <c r="J46" s="4">
        <f>(Table3[[#This Row],[Price of One Product]]*Table3[[#This Row],[No of Products in one Sale]])-Table3[[#This Row],[Discount]]</f>
        <v>249.24510185862525</v>
      </c>
    </row>
    <row r="47" spans="1:10" x14ac:dyDescent="0.3">
      <c r="A47" t="s">
        <v>49</v>
      </c>
      <c r="B47" t="s">
        <v>54</v>
      </c>
      <c r="C47" s="1">
        <v>44736</v>
      </c>
      <c r="D47" t="s">
        <v>62</v>
      </c>
      <c r="E47" t="s">
        <v>67</v>
      </c>
      <c r="F47">
        <v>130</v>
      </c>
      <c r="G47" t="s">
        <v>0</v>
      </c>
      <c r="H47" s="2">
        <v>6</v>
      </c>
      <c r="I47" s="3">
        <v>0.41826226246410803</v>
      </c>
      <c r="J47" s="4">
        <f>(Table3[[#This Row],[Price of One Product]]*Table3[[#This Row],[No of Products in one Sale]])-Table3[[#This Row],[Discount]]</f>
        <v>779.58173773753595</v>
      </c>
    </row>
    <row r="48" spans="1:10" x14ac:dyDescent="0.3">
      <c r="A48" t="s">
        <v>71</v>
      </c>
      <c r="B48" t="s">
        <v>51</v>
      </c>
      <c r="C48" s="1">
        <v>44733</v>
      </c>
      <c r="D48" t="s">
        <v>59</v>
      </c>
      <c r="E48" t="s">
        <v>66</v>
      </c>
      <c r="F48">
        <v>72</v>
      </c>
      <c r="G48" t="s">
        <v>0</v>
      </c>
      <c r="H48" s="2">
        <v>4</v>
      </c>
      <c r="I48" s="3">
        <v>1.372080123313592E-2</v>
      </c>
      <c r="J48" s="4">
        <f>(Table3[[#This Row],[Price of One Product]]*Table3[[#This Row],[No of Products in one Sale]])-Table3[[#This Row],[Discount]]</f>
        <v>287.98627919876685</v>
      </c>
    </row>
    <row r="49" spans="1:10" x14ac:dyDescent="0.3">
      <c r="A49" t="s">
        <v>72</v>
      </c>
      <c r="B49" t="s">
        <v>52</v>
      </c>
      <c r="C49" s="1">
        <v>44746</v>
      </c>
      <c r="D49" t="s">
        <v>60</v>
      </c>
      <c r="E49" t="s">
        <v>67</v>
      </c>
      <c r="F49">
        <v>65</v>
      </c>
      <c r="G49" t="s">
        <v>1</v>
      </c>
      <c r="H49" s="2">
        <v>6</v>
      </c>
      <c r="I49" s="3">
        <v>2.2083854314921911E-2</v>
      </c>
      <c r="J49" s="4">
        <f>(Table3[[#This Row],[Price of One Product]]*Table3[[#This Row],[No of Products in one Sale]])-Table3[[#This Row],[Discount]]</f>
        <v>389.97791614568507</v>
      </c>
    </row>
    <row r="50" spans="1:10" x14ac:dyDescent="0.3">
      <c r="A50" t="s">
        <v>73</v>
      </c>
      <c r="B50" t="s">
        <v>53</v>
      </c>
      <c r="C50" s="1">
        <v>44755</v>
      </c>
      <c r="D50" t="s">
        <v>61</v>
      </c>
      <c r="E50" t="s">
        <v>66</v>
      </c>
      <c r="F50">
        <v>250</v>
      </c>
      <c r="G50" t="s">
        <v>2</v>
      </c>
      <c r="H50" s="2">
        <v>3</v>
      </c>
      <c r="I50" s="3">
        <v>0.92842323956324613</v>
      </c>
      <c r="J50" s="4">
        <f>(Table3[[#This Row],[Price of One Product]]*Table3[[#This Row],[No of Products in one Sale]])-Table3[[#This Row],[Discount]]</f>
        <v>749.07157676043676</v>
      </c>
    </row>
    <row r="51" spans="1:10" x14ac:dyDescent="0.3">
      <c r="A51" t="s">
        <v>74</v>
      </c>
      <c r="B51" t="s">
        <v>54</v>
      </c>
      <c r="C51" s="1">
        <v>44755</v>
      </c>
      <c r="D51" t="s">
        <v>62</v>
      </c>
      <c r="E51" t="s">
        <v>67</v>
      </c>
      <c r="F51">
        <v>130</v>
      </c>
      <c r="G51" t="s">
        <v>0</v>
      </c>
      <c r="H51" s="2">
        <v>2</v>
      </c>
      <c r="I51" s="3">
        <v>0.20990358910221096</v>
      </c>
      <c r="J51" s="4">
        <f>(Table3[[#This Row],[Price of One Product]]*Table3[[#This Row],[No of Products in one Sale]])-Table3[[#This Row],[Discount]]</f>
        <v>259.79009641089777</v>
      </c>
    </row>
    <row r="52" spans="1:10" x14ac:dyDescent="0.3">
      <c r="A52" t="s">
        <v>75</v>
      </c>
      <c r="B52" t="s">
        <v>51</v>
      </c>
      <c r="C52" s="1">
        <v>44727</v>
      </c>
      <c r="D52" t="s">
        <v>59</v>
      </c>
      <c r="E52" t="s">
        <v>66</v>
      </c>
      <c r="F52">
        <v>72</v>
      </c>
      <c r="G52" t="s">
        <v>1</v>
      </c>
      <c r="H52" s="2">
        <v>5</v>
      </c>
      <c r="I52" s="3">
        <v>0.184343159134289</v>
      </c>
      <c r="J52" s="4">
        <f>(Table3[[#This Row],[Price of One Product]]*Table3[[#This Row],[No of Products in one Sale]])-Table3[[#This Row],[Discount]]</f>
        <v>359.8156568408657</v>
      </c>
    </row>
    <row r="53" spans="1:10" x14ac:dyDescent="0.3">
      <c r="A53" t="s">
        <v>76</v>
      </c>
      <c r="B53" t="s">
        <v>52</v>
      </c>
      <c r="C53" s="1">
        <v>44746</v>
      </c>
      <c r="D53" t="s">
        <v>60</v>
      </c>
      <c r="E53" t="s">
        <v>67</v>
      </c>
      <c r="F53">
        <v>65</v>
      </c>
      <c r="G53" t="s">
        <v>2</v>
      </c>
      <c r="H53" s="2">
        <v>8</v>
      </c>
      <c r="I53" s="3">
        <v>0.11144429073382323</v>
      </c>
      <c r="J53" s="4">
        <f>(Table3[[#This Row],[Price of One Product]]*Table3[[#This Row],[No of Products in one Sale]])-Table3[[#This Row],[Discount]]</f>
        <v>519.88855570926614</v>
      </c>
    </row>
    <row r="54" spans="1:10" x14ac:dyDescent="0.3">
      <c r="A54" t="s">
        <v>77</v>
      </c>
      <c r="B54" t="s">
        <v>53</v>
      </c>
      <c r="C54" s="1">
        <v>44740</v>
      </c>
      <c r="D54" t="s">
        <v>61</v>
      </c>
      <c r="E54" t="s">
        <v>66</v>
      </c>
      <c r="F54">
        <v>250</v>
      </c>
      <c r="G54" t="s">
        <v>0</v>
      </c>
      <c r="H54" s="2">
        <v>3</v>
      </c>
      <c r="I54" s="3">
        <v>0.56286929186816415</v>
      </c>
      <c r="J54" s="4">
        <f>(Table3[[#This Row],[Price of One Product]]*Table3[[#This Row],[No of Products in one Sale]])-Table3[[#This Row],[Discount]]</f>
        <v>749.4371307081318</v>
      </c>
    </row>
    <row r="55" spans="1:10" x14ac:dyDescent="0.3">
      <c r="A55" t="s">
        <v>78</v>
      </c>
      <c r="B55" t="s">
        <v>54</v>
      </c>
      <c r="C55" s="1">
        <v>44743</v>
      </c>
      <c r="D55" t="s">
        <v>62</v>
      </c>
      <c r="E55" t="s">
        <v>67</v>
      </c>
      <c r="F55">
        <v>130</v>
      </c>
      <c r="G55" t="s">
        <v>1</v>
      </c>
      <c r="H55" s="2">
        <v>3</v>
      </c>
      <c r="I55" s="3">
        <v>3.138956050307417E-2</v>
      </c>
      <c r="J55" s="4">
        <f>(Table3[[#This Row],[Price of One Product]]*Table3[[#This Row],[No of Products in one Sale]])-Table3[[#This Row],[Discount]]</f>
        <v>389.9686104394969</v>
      </c>
    </row>
    <row r="56" spans="1:10" x14ac:dyDescent="0.3">
      <c r="A56" t="s">
        <v>79</v>
      </c>
      <c r="B56" t="s">
        <v>55</v>
      </c>
      <c r="C56" s="1">
        <v>44737</v>
      </c>
      <c r="D56" t="s">
        <v>63</v>
      </c>
      <c r="E56" t="s">
        <v>66</v>
      </c>
      <c r="F56">
        <v>60</v>
      </c>
      <c r="G56" t="s">
        <v>2</v>
      </c>
      <c r="H56" s="2">
        <v>13</v>
      </c>
      <c r="I56" s="3">
        <v>0.23798278495106248</v>
      </c>
      <c r="J56" s="4">
        <f>(Table3[[#This Row],[Price of One Product]]*Table3[[#This Row],[No of Products in one Sale]])-Table3[[#This Row],[Discount]]</f>
        <v>779.7620172150489</v>
      </c>
    </row>
    <row r="57" spans="1:10" x14ac:dyDescent="0.3">
      <c r="A57" t="s">
        <v>80</v>
      </c>
      <c r="B57" t="s">
        <v>51</v>
      </c>
      <c r="C57" s="1">
        <v>44757</v>
      </c>
      <c r="D57" t="s">
        <v>59</v>
      </c>
      <c r="E57" t="s">
        <v>67</v>
      </c>
      <c r="F57">
        <v>72</v>
      </c>
      <c r="G57" t="s">
        <v>0</v>
      </c>
      <c r="H57" s="2">
        <v>5</v>
      </c>
      <c r="I57" s="3">
        <v>0.19712344024473996</v>
      </c>
      <c r="J57" s="4">
        <f>(Table3[[#This Row],[Price of One Product]]*Table3[[#This Row],[No of Products in one Sale]])-Table3[[#This Row],[Discount]]</f>
        <v>359.80287655975525</v>
      </c>
    </row>
    <row r="58" spans="1:10" x14ac:dyDescent="0.3">
      <c r="A58" t="s">
        <v>81</v>
      </c>
      <c r="B58" t="s">
        <v>52</v>
      </c>
      <c r="C58" s="1">
        <v>44745</v>
      </c>
      <c r="D58" t="s">
        <v>60</v>
      </c>
      <c r="E58" t="s">
        <v>66</v>
      </c>
      <c r="F58">
        <v>65</v>
      </c>
      <c r="G58" t="s">
        <v>1</v>
      </c>
      <c r="H58" s="2">
        <v>7</v>
      </c>
      <c r="I58" s="3">
        <v>6.8295799738434873E-2</v>
      </c>
      <c r="J58" s="4">
        <f>(Table3[[#This Row],[Price of One Product]]*Table3[[#This Row],[No of Products in one Sale]])-Table3[[#This Row],[Discount]]</f>
        <v>454.93170420026155</v>
      </c>
    </row>
    <row r="59" spans="1:10" x14ac:dyDescent="0.3">
      <c r="A59" t="s">
        <v>82</v>
      </c>
      <c r="B59" t="s">
        <v>53</v>
      </c>
      <c r="C59" s="1">
        <v>44760</v>
      </c>
      <c r="D59" t="s">
        <v>61</v>
      </c>
      <c r="E59" t="s">
        <v>67</v>
      </c>
      <c r="F59">
        <v>250</v>
      </c>
      <c r="G59" t="s">
        <v>2</v>
      </c>
      <c r="H59" s="2">
        <v>3</v>
      </c>
      <c r="I59" s="3">
        <v>1.6828522965904168E-2</v>
      </c>
      <c r="J59" s="4">
        <f>(Table3[[#This Row],[Price of One Product]]*Table3[[#This Row],[No of Products in one Sale]])-Table3[[#This Row],[Discount]]</f>
        <v>749.98317147703415</v>
      </c>
    </row>
    <row r="60" spans="1:10" x14ac:dyDescent="0.3">
      <c r="A60" t="s">
        <v>83</v>
      </c>
      <c r="B60" t="s">
        <v>54</v>
      </c>
      <c r="C60" s="1">
        <v>44750</v>
      </c>
      <c r="D60" t="s">
        <v>62</v>
      </c>
      <c r="E60" t="s">
        <v>66</v>
      </c>
      <c r="F60">
        <v>130</v>
      </c>
      <c r="G60" t="s">
        <v>0</v>
      </c>
      <c r="H60" s="2">
        <v>6</v>
      </c>
      <c r="I60" s="3">
        <v>0.26661284065553453</v>
      </c>
      <c r="J60" s="4">
        <f>(Table3[[#This Row],[Price of One Product]]*Table3[[#This Row],[No of Products in one Sale]])-Table3[[#This Row],[Discount]]</f>
        <v>779.73338715934449</v>
      </c>
    </row>
    <row r="61" spans="1:10" x14ac:dyDescent="0.3">
      <c r="A61" t="s">
        <v>84</v>
      </c>
      <c r="B61" t="s">
        <v>51</v>
      </c>
      <c r="C61" s="1">
        <v>44742</v>
      </c>
      <c r="D61" t="s">
        <v>59</v>
      </c>
      <c r="E61" t="s">
        <v>67</v>
      </c>
      <c r="F61">
        <v>72</v>
      </c>
      <c r="G61" t="s">
        <v>1</v>
      </c>
      <c r="H61" s="2">
        <v>11</v>
      </c>
      <c r="I61" s="3">
        <v>0.21251347110701568</v>
      </c>
      <c r="J61" s="4">
        <f>(Table3[[#This Row],[Price of One Product]]*Table3[[#This Row],[No of Products in one Sale]])-Table3[[#This Row],[Discount]]</f>
        <v>791.78748652889294</v>
      </c>
    </row>
    <row r="62" spans="1:10" x14ac:dyDescent="0.3">
      <c r="A62" t="s">
        <v>85</v>
      </c>
      <c r="B62" t="s">
        <v>52</v>
      </c>
      <c r="C62" s="1">
        <v>44754</v>
      </c>
      <c r="D62" t="s">
        <v>60</v>
      </c>
      <c r="E62" t="s">
        <v>66</v>
      </c>
      <c r="F62">
        <v>65</v>
      </c>
      <c r="G62" t="s">
        <v>2</v>
      </c>
      <c r="H62" s="2">
        <v>12</v>
      </c>
      <c r="I62" s="3">
        <v>0.10994257661413849</v>
      </c>
      <c r="J62" s="4">
        <f>(Table3[[#This Row],[Price of One Product]]*Table3[[#This Row],[No of Products in one Sale]])-Table3[[#This Row],[Discount]]</f>
        <v>779.89005742338588</v>
      </c>
    </row>
    <row r="63" spans="1:10" x14ac:dyDescent="0.3">
      <c r="A63" t="s">
        <v>86</v>
      </c>
      <c r="B63" t="s">
        <v>53</v>
      </c>
      <c r="C63" s="1">
        <v>44746</v>
      </c>
      <c r="D63" t="s">
        <v>61</v>
      </c>
      <c r="E63" t="s">
        <v>67</v>
      </c>
      <c r="F63">
        <v>250</v>
      </c>
      <c r="G63" t="s">
        <v>0</v>
      </c>
      <c r="H63" s="2">
        <v>2</v>
      </c>
      <c r="I63" s="3">
        <v>0.53607498908607099</v>
      </c>
      <c r="J63" s="4">
        <f>(Table3[[#This Row],[Price of One Product]]*Table3[[#This Row],[No of Products in one Sale]])-Table3[[#This Row],[Discount]]</f>
        <v>499.46392501091395</v>
      </c>
    </row>
    <row r="64" spans="1:10" x14ac:dyDescent="0.3">
      <c r="A64" t="s">
        <v>87</v>
      </c>
      <c r="B64" t="s">
        <v>54</v>
      </c>
      <c r="C64" s="1">
        <v>44752</v>
      </c>
      <c r="D64" t="s">
        <v>62</v>
      </c>
      <c r="E64" t="s">
        <v>66</v>
      </c>
      <c r="F64">
        <v>130</v>
      </c>
      <c r="G64" t="s">
        <v>1</v>
      </c>
      <c r="H64" s="2">
        <v>6</v>
      </c>
      <c r="I64" s="3">
        <v>3.7515550327758003E-2</v>
      </c>
      <c r="J64" s="4">
        <f>(Table3[[#This Row],[Price of One Product]]*Table3[[#This Row],[No of Products in one Sale]])-Table3[[#This Row],[Discount]]</f>
        <v>779.96248444967227</v>
      </c>
    </row>
    <row r="65" spans="1:10" x14ac:dyDescent="0.3">
      <c r="A65" t="s">
        <v>88</v>
      </c>
      <c r="B65" t="s">
        <v>55</v>
      </c>
      <c r="C65" s="1">
        <v>44725</v>
      </c>
      <c r="D65" t="s">
        <v>63</v>
      </c>
      <c r="E65" t="s">
        <v>66</v>
      </c>
      <c r="F65">
        <v>60</v>
      </c>
      <c r="G65" t="s">
        <v>2</v>
      </c>
      <c r="H65" s="2">
        <v>15</v>
      </c>
      <c r="I65" s="3">
        <v>2.4938289886663061E-2</v>
      </c>
      <c r="J65" s="4">
        <f>(Table3[[#This Row],[Price of One Product]]*Table3[[#This Row],[No of Products in one Sale]])-Table3[[#This Row],[Discount]]</f>
        <v>899.97506171011332</v>
      </c>
    </row>
    <row r="66" spans="1:10" x14ac:dyDescent="0.3">
      <c r="A66" t="s">
        <v>89</v>
      </c>
      <c r="B66" t="s">
        <v>56</v>
      </c>
      <c r="C66" s="1">
        <v>44734</v>
      </c>
      <c r="D66" t="s">
        <v>64</v>
      </c>
      <c r="E66" t="s">
        <v>67</v>
      </c>
      <c r="F66">
        <v>95</v>
      </c>
      <c r="G66" t="s">
        <v>0</v>
      </c>
      <c r="H66" s="2">
        <v>9</v>
      </c>
      <c r="I66" s="3">
        <v>1.0123391970414241E-2</v>
      </c>
      <c r="J66" s="4">
        <f>(Table3[[#This Row],[Price of One Product]]*Table3[[#This Row],[No of Products in one Sale]])-Table3[[#This Row],[Discount]]</f>
        <v>854.98987660802959</v>
      </c>
    </row>
    <row r="67" spans="1:10" x14ac:dyDescent="0.3">
      <c r="A67" t="s">
        <v>90</v>
      </c>
      <c r="B67" t="s">
        <v>51</v>
      </c>
      <c r="C67" s="1">
        <v>44761</v>
      </c>
      <c r="D67" t="s">
        <v>59</v>
      </c>
      <c r="E67" t="s">
        <v>67</v>
      </c>
      <c r="F67">
        <v>72</v>
      </c>
      <c r="G67" t="s">
        <v>1</v>
      </c>
      <c r="H67" s="2">
        <v>12</v>
      </c>
      <c r="I67" s="3">
        <v>0.1308869366379137</v>
      </c>
      <c r="J67" s="4">
        <f>(Table3[[#This Row],[Price of One Product]]*Table3[[#This Row],[No of Products in one Sale]])-Table3[[#This Row],[Discount]]</f>
        <v>863.86911306336208</v>
      </c>
    </row>
    <row r="68" spans="1:10" x14ac:dyDescent="0.3">
      <c r="A68" t="s">
        <v>91</v>
      </c>
      <c r="B68" t="s">
        <v>52</v>
      </c>
      <c r="C68" s="1">
        <v>44735</v>
      </c>
      <c r="D68" t="s">
        <v>60</v>
      </c>
      <c r="E68" t="s">
        <v>67</v>
      </c>
      <c r="F68">
        <v>65</v>
      </c>
      <c r="G68" t="s">
        <v>2</v>
      </c>
      <c r="H68" s="2">
        <v>7</v>
      </c>
      <c r="I68" s="3">
        <v>6.6961969492996459E-2</v>
      </c>
      <c r="J68" s="4">
        <f>(Table3[[#This Row],[Price of One Product]]*Table3[[#This Row],[No of Products in one Sale]])-Table3[[#This Row],[Discount]]</f>
        <v>454.93303803050702</v>
      </c>
    </row>
    <row r="69" spans="1:10" x14ac:dyDescent="0.3">
      <c r="A69" t="s">
        <v>92</v>
      </c>
      <c r="B69" t="s">
        <v>53</v>
      </c>
      <c r="C69" s="1">
        <v>44753</v>
      </c>
      <c r="D69" t="s">
        <v>61</v>
      </c>
      <c r="E69" t="s">
        <v>66</v>
      </c>
      <c r="F69">
        <v>250</v>
      </c>
      <c r="G69" t="s">
        <v>0</v>
      </c>
      <c r="H69" s="2">
        <v>3</v>
      </c>
      <c r="I69" s="3">
        <v>0.36350761794645753</v>
      </c>
      <c r="J69" s="4">
        <f>(Table3[[#This Row],[Price of One Product]]*Table3[[#This Row],[No of Products in one Sale]])-Table3[[#This Row],[Discount]]</f>
        <v>749.63649238205358</v>
      </c>
    </row>
    <row r="70" spans="1:10" x14ac:dyDescent="0.3">
      <c r="A70" t="s">
        <v>93</v>
      </c>
      <c r="B70" t="s">
        <v>54</v>
      </c>
      <c r="C70" s="1">
        <v>44732</v>
      </c>
      <c r="D70" t="s">
        <v>62</v>
      </c>
      <c r="E70" t="s">
        <v>66</v>
      </c>
      <c r="F70">
        <v>130</v>
      </c>
      <c r="G70" t="s">
        <v>1</v>
      </c>
      <c r="H70" s="2">
        <v>6</v>
      </c>
      <c r="I70" s="3">
        <v>0.30841415491993102</v>
      </c>
      <c r="J70" s="4">
        <f>(Table3[[#This Row],[Price of One Product]]*Table3[[#This Row],[No of Products in one Sale]])-Table3[[#This Row],[Discount]]</f>
        <v>779.69158584508011</v>
      </c>
    </row>
    <row r="71" spans="1:10" x14ac:dyDescent="0.3">
      <c r="A71" t="s">
        <v>94</v>
      </c>
      <c r="B71" t="s">
        <v>51</v>
      </c>
      <c r="C71" s="1">
        <v>44748</v>
      </c>
      <c r="D71" t="s">
        <v>59</v>
      </c>
      <c r="E71" t="s">
        <v>66</v>
      </c>
      <c r="F71">
        <v>72</v>
      </c>
      <c r="G71" t="s">
        <v>2</v>
      </c>
      <c r="H71" s="2">
        <v>9</v>
      </c>
      <c r="I71" s="3">
        <v>0.21287301321989574</v>
      </c>
      <c r="J71" s="4">
        <f>(Table3[[#This Row],[Price of One Product]]*Table3[[#This Row],[No of Products in one Sale]])-Table3[[#This Row],[Discount]]</f>
        <v>647.78712698678009</v>
      </c>
    </row>
    <row r="72" spans="1:10" x14ac:dyDescent="0.3">
      <c r="A72" t="s">
        <v>95</v>
      </c>
      <c r="B72" t="s">
        <v>52</v>
      </c>
      <c r="C72" s="1">
        <v>44731</v>
      </c>
      <c r="D72" t="s">
        <v>60</v>
      </c>
      <c r="E72" t="s">
        <v>66</v>
      </c>
      <c r="F72">
        <v>65</v>
      </c>
      <c r="G72" t="s">
        <v>0</v>
      </c>
      <c r="H72" s="2">
        <v>4</v>
      </c>
      <c r="I72" s="3">
        <v>0.11047742601795077</v>
      </c>
      <c r="J72" s="4">
        <f>(Table3[[#This Row],[Price of One Product]]*Table3[[#This Row],[No of Products in one Sale]])-Table3[[#This Row],[Discount]]</f>
        <v>259.88952257398205</v>
      </c>
    </row>
    <row r="73" spans="1:10" x14ac:dyDescent="0.3">
      <c r="A73" t="s">
        <v>96</v>
      </c>
      <c r="B73" t="s">
        <v>53</v>
      </c>
      <c r="C73" s="1">
        <v>44725</v>
      </c>
      <c r="D73" t="s">
        <v>61</v>
      </c>
      <c r="E73" t="s">
        <v>66</v>
      </c>
      <c r="F73">
        <v>250</v>
      </c>
      <c r="G73" t="s">
        <v>1</v>
      </c>
      <c r="H73" s="2">
        <v>2</v>
      </c>
      <c r="I73" s="3">
        <v>4.8799156151631218E-2</v>
      </c>
      <c r="J73" s="4">
        <f>(Table3[[#This Row],[Price of One Product]]*Table3[[#This Row],[No of Products in one Sale]])-Table3[[#This Row],[Discount]]</f>
        <v>499.95120084384837</v>
      </c>
    </row>
    <row r="74" spans="1:10" x14ac:dyDescent="0.3">
      <c r="A74" t="s">
        <v>97</v>
      </c>
      <c r="B74" t="s">
        <v>54</v>
      </c>
      <c r="C74" s="1">
        <v>44753</v>
      </c>
      <c r="D74" t="s">
        <v>62</v>
      </c>
      <c r="E74" t="s">
        <v>66</v>
      </c>
      <c r="F74">
        <v>130</v>
      </c>
      <c r="G74" t="s">
        <v>2</v>
      </c>
      <c r="H74" s="2">
        <v>6</v>
      </c>
      <c r="I74" s="3">
        <v>0.27879506176921365</v>
      </c>
      <c r="J74" s="4">
        <f>(Table3[[#This Row],[Price of One Product]]*Table3[[#This Row],[No of Products in one Sale]])-Table3[[#This Row],[Discount]]</f>
        <v>779.72120493823081</v>
      </c>
    </row>
    <row r="75" spans="1:10" x14ac:dyDescent="0.3">
      <c r="A75" t="s">
        <v>98</v>
      </c>
      <c r="B75" t="s">
        <v>55</v>
      </c>
      <c r="C75" s="1">
        <v>44738</v>
      </c>
      <c r="D75" t="s">
        <v>63</v>
      </c>
      <c r="E75" t="s">
        <v>66</v>
      </c>
      <c r="F75">
        <v>60</v>
      </c>
      <c r="G75" t="s">
        <v>0</v>
      </c>
      <c r="H75" s="2">
        <v>9</v>
      </c>
      <c r="I75" s="3">
        <v>7.6045534046593019E-2</v>
      </c>
      <c r="J75" s="4">
        <f>(Table3[[#This Row],[Price of One Product]]*Table3[[#This Row],[No of Products in one Sale]])-Table3[[#This Row],[Discount]]</f>
        <v>539.92395446595344</v>
      </c>
    </row>
    <row r="76" spans="1:10" x14ac:dyDescent="0.3">
      <c r="A76" t="s">
        <v>99</v>
      </c>
      <c r="B76" t="s">
        <v>51</v>
      </c>
      <c r="C76" s="1">
        <v>44762</v>
      </c>
      <c r="D76" t="s">
        <v>59</v>
      </c>
      <c r="E76" t="s">
        <v>66</v>
      </c>
      <c r="F76">
        <v>72</v>
      </c>
      <c r="G76" t="s">
        <v>1</v>
      </c>
      <c r="H76" s="2">
        <v>11</v>
      </c>
      <c r="I76" s="3">
        <v>0.12055762754740325</v>
      </c>
      <c r="J76" s="4">
        <f>(Table3[[#This Row],[Price of One Product]]*Table3[[#This Row],[No of Products in one Sale]])-Table3[[#This Row],[Discount]]</f>
        <v>791.87944237245256</v>
      </c>
    </row>
    <row r="77" spans="1:10" x14ac:dyDescent="0.3">
      <c r="A77" t="s">
        <v>100</v>
      </c>
      <c r="B77" t="s">
        <v>52</v>
      </c>
      <c r="C77" s="1">
        <v>44756</v>
      </c>
      <c r="D77" t="s">
        <v>60</v>
      </c>
      <c r="E77" t="s">
        <v>66</v>
      </c>
      <c r="F77">
        <v>65</v>
      </c>
      <c r="G77" t="s">
        <v>2</v>
      </c>
      <c r="H77" s="2">
        <v>13</v>
      </c>
      <c r="I77" s="3">
        <v>0.30283946337780637</v>
      </c>
      <c r="J77" s="4">
        <f>(Table3[[#This Row],[Price of One Product]]*Table3[[#This Row],[No of Products in one Sale]])-Table3[[#This Row],[Discount]]</f>
        <v>844.69716053662216</v>
      </c>
    </row>
    <row r="78" spans="1:10" x14ac:dyDescent="0.3">
      <c r="A78" t="s">
        <v>101</v>
      </c>
      <c r="B78" t="s">
        <v>53</v>
      </c>
      <c r="C78" s="1">
        <v>44744</v>
      </c>
      <c r="D78" t="s">
        <v>61</v>
      </c>
      <c r="E78" t="s">
        <v>67</v>
      </c>
      <c r="F78">
        <v>250</v>
      </c>
      <c r="G78" t="s">
        <v>0</v>
      </c>
      <c r="H78" s="2">
        <v>2</v>
      </c>
      <c r="I78" s="3">
        <v>0.41401829873258272</v>
      </c>
      <c r="J78" s="4">
        <f>(Table3[[#This Row],[Price of One Product]]*Table3[[#This Row],[No of Products in one Sale]])-Table3[[#This Row],[Discount]]</f>
        <v>499.58598170126743</v>
      </c>
    </row>
    <row r="79" spans="1:10" x14ac:dyDescent="0.3">
      <c r="A79" t="s">
        <v>102</v>
      </c>
      <c r="B79" t="s">
        <v>54</v>
      </c>
      <c r="C79" s="1">
        <v>44753</v>
      </c>
      <c r="D79" t="s">
        <v>62</v>
      </c>
      <c r="E79" t="s">
        <v>66</v>
      </c>
      <c r="F79">
        <v>130</v>
      </c>
      <c r="G79" t="s">
        <v>1</v>
      </c>
      <c r="H79" s="2">
        <v>6</v>
      </c>
      <c r="I79" s="3">
        <v>6.1603660271292333E-3</v>
      </c>
      <c r="J79" s="4">
        <f>(Table3[[#This Row],[Price of One Product]]*Table3[[#This Row],[No of Products in one Sale]])-Table3[[#This Row],[Discount]]</f>
        <v>779.99383963397293</v>
      </c>
    </row>
    <row r="80" spans="1:10" x14ac:dyDescent="0.3">
      <c r="A80" t="s">
        <v>103</v>
      </c>
      <c r="B80" t="s">
        <v>51</v>
      </c>
      <c r="C80" s="1">
        <v>44762</v>
      </c>
      <c r="D80" t="s">
        <v>59</v>
      </c>
      <c r="E80" t="s">
        <v>66</v>
      </c>
      <c r="F80">
        <v>72</v>
      </c>
      <c r="G80" t="s">
        <v>2</v>
      </c>
      <c r="H80" s="2">
        <v>12</v>
      </c>
      <c r="I80" s="3">
        <v>0.10495963672233184</v>
      </c>
      <c r="J80" s="4">
        <f>(Table3[[#This Row],[Price of One Product]]*Table3[[#This Row],[No of Products in one Sale]])-Table3[[#This Row],[Discount]]</f>
        <v>863.89504036327764</v>
      </c>
    </row>
    <row r="81" spans="1:10" x14ac:dyDescent="0.3">
      <c r="A81" t="s">
        <v>104</v>
      </c>
      <c r="B81" t="s">
        <v>52</v>
      </c>
      <c r="C81" s="1">
        <v>44740</v>
      </c>
      <c r="D81" t="s">
        <v>60</v>
      </c>
      <c r="E81" t="s">
        <v>66</v>
      </c>
      <c r="F81">
        <v>65</v>
      </c>
      <c r="G81" t="s">
        <v>0</v>
      </c>
      <c r="H81" s="2">
        <v>11</v>
      </c>
      <c r="I81" s="3">
        <v>0.29377273906475571</v>
      </c>
      <c r="J81" s="4">
        <f>(Table3[[#This Row],[Price of One Product]]*Table3[[#This Row],[No of Products in one Sale]])-Table3[[#This Row],[Discount]]</f>
        <v>714.70622726093529</v>
      </c>
    </row>
    <row r="82" spans="1:10" x14ac:dyDescent="0.3">
      <c r="A82" t="s">
        <v>105</v>
      </c>
      <c r="B82" t="s">
        <v>53</v>
      </c>
      <c r="C82" s="1">
        <v>44729</v>
      </c>
      <c r="D82" t="s">
        <v>61</v>
      </c>
      <c r="E82" t="s">
        <v>66</v>
      </c>
      <c r="F82">
        <v>250</v>
      </c>
      <c r="G82" t="s">
        <v>1</v>
      </c>
      <c r="H82" s="2">
        <v>3</v>
      </c>
      <c r="I82" s="3">
        <v>0.56559810101924179</v>
      </c>
      <c r="J82" s="4">
        <f>(Table3[[#This Row],[Price of One Product]]*Table3[[#This Row],[No of Products in one Sale]])-Table3[[#This Row],[Discount]]</f>
        <v>749.43440189898081</v>
      </c>
    </row>
    <row r="83" spans="1:10" x14ac:dyDescent="0.3">
      <c r="A83" t="s">
        <v>106</v>
      </c>
      <c r="B83" t="s">
        <v>54</v>
      </c>
      <c r="C83" s="1">
        <v>44727</v>
      </c>
      <c r="D83" t="s">
        <v>62</v>
      </c>
      <c r="E83" t="s">
        <v>66</v>
      </c>
      <c r="F83">
        <v>130</v>
      </c>
      <c r="G83" t="s">
        <v>2</v>
      </c>
      <c r="H83" s="2">
        <v>4</v>
      </c>
      <c r="I83" s="3">
        <v>0.14180367825735268</v>
      </c>
      <c r="J83" s="4">
        <f>(Table3[[#This Row],[Price of One Product]]*Table3[[#This Row],[No of Products in one Sale]])-Table3[[#This Row],[Discount]]</f>
        <v>519.85819632174264</v>
      </c>
    </row>
    <row r="84" spans="1:10" x14ac:dyDescent="0.3">
      <c r="A84" t="s">
        <v>107</v>
      </c>
      <c r="B84" t="s">
        <v>55</v>
      </c>
      <c r="C84" s="1">
        <v>44734</v>
      </c>
      <c r="D84" t="s">
        <v>63</v>
      </c>
      <c r="E84" t="s">
        <v>67</v>
      </c>
      <c r="F84">
        <v>60</v>
      </c>
      <c r="G84" t="s">
        <v>0</v>
      </c>
      <c r="H84" s="2">
        <v>14</v>
      </c>
      <c r="I84" s="3">
        <v>0.19727585407121537</v>
      </c>
      <c r="J84" s="4">
        <f>(Table3[[#This Row],[Price of One Product]]*Table3[[#This Row],[No of Products in one Sale]])-Table3[[#This Row],[Discount]]</f>
        <v>839.80272414592878</v>
      </c>
    </row>
    <row r="85" spans="1:10" x14ac:dyDescent="0.3">
      <c r="A85" t="s">
        <v>108</v>
      </c>
      <c r="B85" t="s">
        <v>56</v>
      </c>
      <c r="C85" s="1">
        <v>44744</v>
      </c>
      <c r="D85" t="s">
        <v>64</v>
      </c>
      <c r="E85" t="s">
        <v>66</v>
      </c>
      <c r="F85">
        <v>95</v>
      </c>
      <c r="G85" t="s">
        <v>1</v>
      </c>
      <c r="H85" s="2">
        <v>2</v>
      </c>
      <c r="I85" s="3">
        <v>0.16026707373910823</v>
      </c>
      <c r="J85" s="4">
        <f>(Table3[[#This Row],[Price of One Product]]*Table3[[#This Row],[No of Products in one Sale]])-Table3[[#This Row],[Discount]]</f>
        <v>189.83973292626089</v>
      </c>
    </row>
    <row r="86" spans="1:10" x14ac:dyDescent="0.3">
      <c r="A86" t="s">
        <v>109</v>
      </c>
      <c r="B86" t="s">
        <v>51</v>
      </c>
      <c r="C86" s="1">
        <v>44737</v>
      </c>
      <c r="D86" t="s">
        <v>59</v>
      </c>
      <c r="E86" t="s">
        <v>66</v>
      </c>
      <c r="F86">
        <v>72</v>
      </c>
      <c r="G86" t="s">
        <v>2</v>
      </c>
      <c r="H86" s="2">
        <v>4</v>
      </c>
      <c r="I86" s="3">
        <v>3.6754234817017679E-2</v>
      </c>
      <c r="J86" s="4">
        <f>(Table3[[#This Row],[Price of One Product]]*Table3[[#This Row],[No of Products in one Sale]])-Table3[[#This Row],[Discount]]</f>
        <v>287.96324576518299</v>
      </c>
    </row>
    <row r="87" spans="1:10" x14ac:dyDescent="0.3">
      <c r="A87" t="s">
        <v>110</v>
      </c>
      <c r="B87" t="s">
        <v>52</v>
      </c>
      <c r="C87" s="1">
        <v>44752</v>
      </c>
      <c r="D87" t="s">
        <v>60</v>
      </c>
      <c r="E87" t="s">
        <v>66</v>
      </c>
      <c r="F87">
        <v>65</v>
      </c>
      <c r="G87" t="s">
        <v>0</v>
      </c>
      <c r="H87" s="2">
        <v>6</v>
      </c>
      <c r="I87" s="3">
        <v>0.12047427034169578</v>
      </c>
      <c r="J87" s="4">
        <f>(Table3[[#This Row],[Price of One Product]]*Table3[[#This Row],[No of Products in one Sale]])-Table3[[#This Row],[Discount]]</f>
        <v>389.87952572965833</v>
      </c>
    </row>
    <row r="88" spans="1:10" x14ac:dyDescent="0.3">
      <c r="A88" t="s">
        <v>111</v>
      </c>
      <c r="B88" t="s">
        <v>53</v>
      </c>
      <c r="C88" s="1">
        <v>44736</v>
      </c>
      <c r="D88" t="s">
        <v>61</v>
      </c>
      <c r="E88" t="s">
        <v>67</v>
      </c>
      <c r="F88">
        <v>250</v>
      </c>
      <c r="G88" t="s">
        <v>1</v>
      </c>
      <c r="H88" s="2">
        <v>2</v>
      </c>
      <c r="I88" s="3">
        <v>0.38636401364592987</v>
      </c>
      <c r="J88" s="4">
        <f>(Table3[[#This Row],[Price of One Product]]*Table3[[#This Row],[No of Products in one Sale]])-Table3[[#This Row],[Discount]]</f>
        <v>499.6136359863541</v>
      </c>
    </row>
    <row r="89" spans="1:10" x14ac:dyDescent="0.3">
      <c r="A89" t="s">
        <v>112</v>
      </c>
      <c r="B89" t="s">
        <v>54</v>
      </c>
      <c r="C89" s="1">
        <v>44752</v>
      </c>
      <c r="D89" t="s">
        <v>62</v>
      </c>
      <c r="E89" t="s">
        <v>67</v>
      </c>
      <c r="F89">
        <v>130</v>
      </c>
      <c r="G89" t="s">
        <v>2</v>
      </c>
      <c r="H89" s="2">
        <v>5</v>
      </c>
      <c r="I89" s="3">
        <v>0.25111930985495906</v>
      </c>
      <c r="J89" s="4">
        <f>(Table3[[#This Row],[Price of One Product]]*Table3[[#This Row],[No of Products in one Sale]])-Table3[[#This Row],[Discount]]</f>
        <v>649.74888069014503</v>
      </c>
    </row>
    <row r="90" spans="1:10" x14ac:dyDescent="0.3">
      <c r="A90" t="s">
        <v>113</v>
      </c>
      <c r="B90" t="s">
        <v>51</v>
      </c>
      <c r="C90" s="1">
        <v>44759</v>
      </c>
      <c r="D90" t="s">
        <v>59</v>
      </c>
      <c r="E90" t="s">
        <v>67</v>
      </c>
      <c r="F90">
        <v>72</v>
      </c>
      <c r="G90" t="s">
        <v>0</v>
      </c>
      <c r="H90" s="2">
        <v>6</v>
      </c>
      <c r="I90" s="3">
        <v>0.18099169049889144</v>
      </c>
      <c r="J90" s="4">
        <f>(Table3[[#This Row],[Price of One Product]]*Table3[[#This Row],[No of Products in one Sale]])-Table3[[#This Row],[Discount]]</f>
        <v>431.8190083095011</v>
      </c>
    </row>
    <row r="91" spans="1:10" x14ac:dyDescent="0.3">
      <c r="A91" t="s">
        <v>114</v>
      </c>
      <c r="B91" t="s">
        <v>52</v>
      </c>
      <c r="C91" s="1">
        <v>44763</v>
      </c>
      <c r="D91" t="s">
        <v>60</v>
      </c>
      <c r="E91" t="s">
        <v>67</v>
      </c>
      <c r="F91">
        <v>65</v>
      </c>
      <c r="G91" t="s">
        <v>1</v>
      </c>
      <c r="H91" s="2">
        <v>6</v>
      </c>
      <c r="I91" s="3">
        <v>0.17363786365000505</v>
      </c>
      <c r="J91" s="4">
        <f>(Table3[[#This Row],[Price of One Product]]*Table3[[#This Row],[No of Products in one Sale]])-Table3[[#This Row],[Discount]]</f>
        <v>389.82636213634999</v>
      </c>
    </row>
    <row r="92" spans="1:10" x14ac:dyDescent="0.3">
      <c r="A92" t="s">
        <v>115</v>
      </c>
      <c r="B92" t="s">
        <v>53</v>
      </c>
      <c r="C92" s="1">
        <v>44763</v>
      </c>
      <c r="D92" t="s">
        <v>61</v>
      </c>
      <c r="E92" t="s">
        <v>67</v>
      </c>
      <c r="F92">
        <v>250</v>
      </c>
      <c r="G92" t="s">
        <v>2</v>
      </c>
      <c r="H92" s="2">
        <v>3</v>
      </c>
      <c r="I92" s="3">
        <v>0.75489814137474298</v>
      </c>
      <c r="J92" s="4">
        <f>(Table3[[#This Row],[Price of One Product]]*Table3[[#This Row],[No of Products in one Sale]])-Table3[[#This Row],[Discount]]</f>
        <v>749.24510185862528</v>
      </c>
    </row>
    <row r="93" spans="1:10" x14ac:dyDescent="0.3">
      <c r="A93" t="s">
        <v>116</v>
      </c>
      <c r="B93" t="s">
        <v>54</v>
      </c>
      <c r="C93" s="1">
        <v>44750</v>
      </c>
      <c r="D93" t="s">
        <v>62</v>
      </c>
      <c r="E93" t="s">
        <v>67</v>
      </c>
      <c r="F93">
        <v>130</v>
      </c>
      <c r="G93" t="s">
        <v>0</v>
      </c>
      <c r="H93" s="2">
        <v>4</v>
      </c>
      <c r="I93" s="3">
        <v>0.41826226246410803</v>
      </c>
      <c r="J93" s="4">
        <f>(Table3[[#This Row],[Price of One Product]]*Table3[[#This Row],[No of Products in one Sale]])-Table3[[#This Row],[Discount]]</f>
        <v>519.58173773753595</v>
      </c>
    </row>
    <row r="94" spans="1:10" x14ac:dyDescent="0.3">
      <c r="A94" t="s">
        <v>117</v>
      </c>
      <c r="B94" t="s">
        <v>51</v>
      </c>
      <c r="C94" s="1">
        <v>44751</v>
      </c>
      <c r="D94" t="s">
        <v>59</v>
      </c>
      <c r="E94" t="s">
        <v>66</v>
      </c>
      <c r="F94">
        <v>72</v>
      </c>
      <c r="G94" t="s">
        <v>0</v>
      </c>
      <c r="H94" s="2">
        <v>11</v>
      </c>
      <c r="I94" s="3">
        <v>0.52183512590850833</v>
      </c>
      <c r="J94" s="4">
        <f>(Table3[[#This Row],[Price of One Product]]*Table3[[#This Row],[No of Products in one Sale]])-Table3[[#This Row],[Discount]]</f>
        <v>791.47816487409148</v>
      </c>
    </row>
    <row r="95" spans="1:10" x14ac:dyDescent="0.3">
      <c r="A95" t="s">
        <v>118</v>
      </c>
      <c r="B95" t="s">
        <v>52</v>
      </c>
      <c r="C95" s="1">
        <v>44736</v>
      </c>
      <c r="D95" t="s">
        <v>60</v>
      </c>
      <c r="E95" t="s">
        <v>67</v>
      </c>
      <c r="F95">
        <v>65</v>
      </c>
      <c r="G95" t="s">
        <v>1</v>
      </c>
      <c r="H95" s="2">
        <v>12</v>
      </c>
      <c r="I95" s="3">
        <v>0.4407264983607897</v>
      </c>
      <c r="J95" s="4">
        <f>(Table3[[#This Row],[Price of One Product]]*Table3[[#This Row],[No of Products in one Sale]])-Table3[[#This Row],[Discount]]</f>
        <v>779.55927350163915</v>
      </c>
    </row>
    <row r="96" spans="1:10" x14ac:dyDescent="0.3">
      <c r="A96" t="s">
        <v>119</v>
      </c>
      <c r="B96" t="s">
        <v>53</v>
      </c>
      <c r="C96" s="1">
        <v>44737</v>
      </c>
      <c r="D96" t="s">
        <v>61</v>
      </c>
      <c r="E96" t="s">
        <v>66</v>
      </c>
      <c r="F96">
        <v>250</v>
      </c>
      <c r="G96" t="s">
        <v>2</v>
      </c>
      <c r="H96" s="2">
        <v>3</v>
      </c>
      <c r="I96" s="3">
        <v>0.30123769132028422</v>
      </c>
      <c r="J96" s="4">
        <f>(Table3[[#This Row],[Price of One Product]]*Table3[[#This Row],[No of Products in one Sale]])-Table3[[#This Row],[Discount]]</f>
        <v>749.69876230867976</v>
      </c>
    </row>
    <row r="97" spans="1:10" x14ac:dyDescent="0.3">
      <c r="A97" t="s">
        <v>120</v>
      </c>
      <c r="B97" t="s">
        <v>54</v>
      </c>
      <c r="C97" s="1">
        <v>44744</v>
      </c>
      <c r="D97" t="s">
        <v>62</v>
      </c>
      <c r="E97" t="s">
        <v>67</v>
      </c>
      <c r="F97">
        <v>130</v>
      </c>
      <c r="G97" t="s">
        <v>0</v>
      </c>
      <c r="H97" s="2">
        <v>4</v>
      </c>
      <c r="I97" s="3">
        <v>0.42020557863905661</v>
      </c>
      <c r="J97" s="4">
        <f>(Table3[[#This Row],[Price of One Product]]*Table3[[#This Row],[No of Products in one Sale]])-Table3[[#This Row],[Discount]]</f>
        <v>519.57979442136093</v>
      </c>
    </row>
    <row r="98" spans="1:10" x14ac:dyDescent="0.3">
      <c r="A98" t="s">
        <v>121</v>
      </c>
      <c r="B98" t="s">
        <v>51</v>
      </c>
      <c r="C98" s="1">
        <v>44735</v>
      </c>
      <c r="D98" t="s">
        <v>59</v>
      </c>
      <c r="E98" t="s">
        <v>66</v>
      </c>
      <c r="F98">
        <v>72</v>
      </c>
      <c r="G98" t="s">
        <v>1</v>
      </c>
      <c r="H98" s="2">
        <v>10</v>
      </c>
      <c r="I98" s="3">
        <v>0.38179966249899233</v>
      </c>
      <c r="J98" s="4">
        <f>(Table3[[#This Row],[Price of One Product]]*Table3[[#This Row],[No of Products in one Sale]])-Table3[[#This Row],[Discount]]</f>
        <v>719.61820033750098</v>
      </c>
    </row>
    <row r="99" spans="1:10" x14ac:dyDescent="0.3">
      <c r="A99" t="s">
        <v>122</v>
      </c>
      <c r="B99" t="s">
        <v>52</v>
      </c>
      <c r="C99" s="1">
        <v>44751</v>
      </c>
      <c r="D99" t="s">
        <v>60</v>
      </c>
      <c r="E99" t="s">
        <v>67</v>
      </c>
      <c r="F99">
        <v>65</v>
      </c>
      <c r="G99" t="s">
        <v>2</v>
      </c>
      <c r="H99" s="2">
        <v>5</v>
      </c>
      <c r="I99" s="3">
        <v>4.8435914836800764E-3</v>
      </c>
      <c r="J99" s="4">
        <f>(Table3[[#This Row],[Price of One Product]]*Table3[[#This Row],[No of Products in one Sale]])-Table3[[#This Row],[Discount]]</f>
        <v>324.99515640851632</v>
      </c>
    </row>
    <row r="100" spans="1:10" x14ac:dyDescent="0.3">
      <c r="A100" t="s">
        <v>123</v>
      </c>
      <c r="B100" t="s">
        <v>53</v>
      </c>
      <c r="C100" s="1">
        <v>44726</v>
      </c>
      <c r="D100" t="s">
        <v>61</v>
      </c>
      <c r="E100" t="s">
        <v>66</v>
      </c>
      <c r="F100">
        <v>250</v>
      </c>
      <c r="G100" t="s">
        <v>0</v>
      </c>
      <c r="H100" s="2">
        <v>2</v>
      </c>
      <c r="I100" s="3">
        <v>0.63857584714373206</v>
      </c>
      <c r="J100" s="4">
        <f>(Table3[[#This Row],[Price of One Product]]*Table3[[#This Row],[No of Products in one Sale]])-Table3[[#This Row],[Discount]]</f>
        <v>499.36142415285627</v>
      </c>
    </row>
    <row r="101" spans="1:10" x14ac:dyDescent="0.3">
      <c r="A101" t="s">
        <v>124</v>
      </c>
      <c r="B101" t="s">
        <v>54</v>
      </c>
      <c r="C101" s="1">
        <v>44749</v>
      </c>
      <c r="D101" t="s">
        <v>62</v>
      </c>
      <c r="E101" t="s">
        <v>67</v>
      </c>
      <c r="F101">
        <v>130</v>
      </c>
      <c r="G101" t="s">
        <v>1</v>
      </c>
      <c r="H101" s="2">
        <v>7</v>
      </c>
      <c r="I101" s="3">
        <v>0.92544771931561698</v>
      </c>
      <c r="J101" s="4">
        <f>(Table3[[#This Row],[Price of One Product]]*Table3[[#This Row],[No of Products in one Sale]])-Table3[[#This Row],[Discount]]</f>
        <v>909.07455228068443</v>
      </c>
    </row>
    <row r="102" spans="1:10" x14ac:dyDescent="0.3">
      <c r="A102" t="s">
        <v>125</v>
      </c>
      <c r="B102" t="s">
        <v>55</v>
      </c>
      <c r="C102" s="1">
        <v>44734</v>
      </c>
      <c r="D102" t="s">
        <v>63</v>
      </c>
      <c r="E102" t="s">
        <v>66</v>
      </c>
      <c r="F102">
        <v>60</v>
      </c>
      <c r="G102" t="s">
        <v>2</v>
      </c>
      <c r="H102" s="2">
        <v>10</v>
      </c>
      <c r="I102" s="3">
        <v>4.9069353138029403E-2</v>
      </c>
      <c r="J102" s="4">
        <f>(Table3[[#This Row],[Price of One Product]]*Table3[[#This Row],[No of Products in one Sale]])-Table3[[#This Row],[Discount]]</f>
        <v>599.95093064686193</v>
      </c>
    </row>
    <row r="103" spans="1:10" x14ac:dyDescent="0.3">
      <c r="A103" t="s">
        <v>126</v>
      </c>
      <c r="B103" t="s">
        <v>51</v>
      </c>
      <c r="C103" s="1">
        <v>44726</v>
      </c>
      <c r="D103" t="s">
        <v>59</v>
      </c>
      <c r="E103" t="s">
        <v>67</v>
      </c>
      <c r="F103">
        <v>72</v>
      </c>
      <c r="G103" t="s">
        <v>0</v>
      </c>
      <c r="H103" s="2">
        <v>11</v>
      </c>
      <c r="I103" s="3">
        <v>0.7875779554918797</v>
      </c>
      <c r="J103" s="4">
        <f>(Table3[[#This Row],[Price of One Product]]*Table3[[#This Row],[No of Products in one Sale]])-Table3[[#This Row],[Discount]]</f>
        <v>791.21242204450812</v>
      </c>
    </row>
    <row r="104" spans="1:10" x14ac:dyDescent="0.3">
      <c r="A104" t="s">
        <v>127</v>
      </c>
      <c r="B104" t="s">
        <v>52</v>
      </c>
      <c r="C104" s="1">
        <v>44743</v>
      </c>
      <c r="D104" t="s">
        <v>60</v>
      </c>
      <c r="E104" t="s">
        <v>66</v>
      </c>
      <c r="F104">
        <v>65</v>
      </c>
      <c r="G104" t="s">
        <v>1</v>
      </c>
      <c r="H104" s="2">
        <v>13</v>
      </c>
      <c r="I104" s="3">
        <v>0.4468603878067412</v>
      </c>
      <c r="J104" s="4">
        <f>(Table3[[#This Row],[Price of One Product]]*Table3[[#This Row],[No of Products in one Sale]])-Table3[[#This Row],[Discount]]</f>
        <v>844.55313961219326</v>
      </c>
    </row>
    <row r="105" spans="1:10" x14ac:dyDescent="0.3">
      <c r="A105" t="s">
        <v>128</v>
      </c>
      <c r="B105" t="s">
        <v>53</v>
      </c>
      <c r="C105" s="1">
        <v>44742</v>
      </c>
      <c r="D105" t="s">
        <v>61</v>
      </c>
      <c r="E105" t="s">
        <v>67</v>
      </c>
      <c r="F105">
        <v>250</v>
      </c>
      <c r="G105" t="s">
        <v>2</v>
      </c>
      <c r="H105" s="2">
        <v>2</v>
      </c>
      <c r="I105" s="3">
        <v>0.89674363393446022</v>
      </c>
      <c r="J105" s="4">
        <f>(Table3[[#This Row],[Price of One Product]]*Table3[[#This Row],[No of Products in one Sale]])-Table3[[#This Row],[Discount]]</f>
        <v>499.10325636606552</v>
      </c>
    </row>
    <row r="106" spans="1:10" x14ac:dyDescent="0.3">
      <c r="A106" t="s">
        <v>129</v>
      </c>
      <c r="B106" t="s">
        <v>54</v>
      </c>
      <c r="C106" s="1">
        <v>44747</v>
      </c>
      <c r="D106" t="s">
        <v>62</v>
      </c>
      <c r="E106" t="s">
        <v>66</v>
      </c>
      <c r="F106">
        <v>130</v>
      </c>
      <c r="G106" t="s">
        <v>0</v>
      </c>
      <c r="H106" s="2">
        <v>6</v>
      </c>
      <c r="I106" s="3">
        <v>3.2373342558606799E-2</v>
      </c>
      <c r="J106" s="4">
        <f>(Table3[[#This Row],[Price of One Product]]*Table3[[#This Row],[No of Products in one Sale]])-Table3[[#This Row],[Discount]]</f>
        <v>779.96762665744143</v>
      </c>
    </row>
    <row r="107" spans="1:10" x14ac:dyDescent="0.3">
      <c r="A107" t="s">
        <v>130</v>
      </c>
      <c r="B107" t="s">
        <v>51</v>
      </c>
      <c r="C107" s="1">
        <v>44764</v>
      </c>
      <c r="D107" t="s">
        <v>59</v>
      </c>
      <c r="E107" t="s">
        <v>67</v>
      </c>
      <c r="F107">
        <v>72</v>
      </c>
      <c r="G107" t="s">
        <v>1</v>
      </c>
      <c r="H107" s="2">
        <v>11</v>
      </c>
      <c r="I107" s="3">
        <v>0.94247200152138155</v>
      </c>
      <c r="J107" s="4">
        <f>(Table3[[#This Row],[Price of One Product]]*Table3[[#This Row],[No of Products in one Sale]])-Table3[[#This Row],[Discount]]</f>
        <v>791.05752799847858</v>
      </c>
    </row>
    <row r="108" spans="1:10" x14ac:dyDescent="0.3">
      <c r="A108" t="s">
        <v>131</v>
      </c>
      <c r="B108" t="s">
        <v>52</v>
      </c>
      <c r="C108" s="1">
        <v>44735</v>
      </c>
      <c r="D108" t="s">
        <v>60</v>
      </c>
      <c r="E108" t="s">
        <v>66</v>
      </c>
      <c r="F108">
        <v>65</v>
      </c>
      <c r="G108" t="s">
        <v>2</v>
      </c>
      <c r="H108" s="2">
        <v>7</v>
      </c>
      <c r="I108" s="3">
        <v>0.24863680679080546</v>
      </c>
      <c r="J108" s="4">
        <f>(Table3[[#This Row],[Price of One Product]]*Table3[[#This Row],[No of Products in one Sale]])-Table3[[#This Row],[Discount]]</f>
        <v>454.75136319320922</v>
      </c>
    </row>
    <row r="109" spans="1:10" x14ac:dyDescent="0.3">
      <c r="A109" t="s">
        <v>132</v>
      </c>
      <c r="B109" t="s">
        <v>53</v>
      </c>
      <c r="C109" s="1">
        <v>44737</v>
      </c>
      <c r="D109" t="s">
        <v>61</v>
      </c>
      <c r="E109" t="s">
        <v>67</v>
      </c>
      <c r="F109">
        <v>250</v>
      </c>
      <c r="G109" t="s">
        <v>0</v>
      </c>
      <c r="H109" s="2">
        <v>1</v>
      </c>
      <c r="I109" s="3">
        <v>4.9896521056402299E-2</v>
      </c>
      <c r="J109" s="4">
        <f>(Table3[[#This Row],[Price of One Product]]*Table3[[#This Row],[No of Products in one Sale]])-Table3[[#This Row],[Discount]]</f>
        <v>249.95010347894359</v>
      </c>
    </row>
    <row r="110" spans="1:10" x14ac:dyDescent="0.3">
      <c r="A110" t="s">
        <v>133</v>
      </c>
      <c r="B110" t="s">
        <v>54</v>
      </c>
      <c r="C110" s="1">
        <v>44749</v>
      </c>
      <c r="D110" t="s">
        <v>62</v>
      </c>
      <c r="E110" t="s">
        <v>66</v>
      </c>
      <c r="F110">
        <v>130</v>
      </c>
      <c r="G110" t="s">
        <v>1</v>
      </c>
      <c r="H110" s="2">
        <v>7</v>
      </c>
      <c r="I110" s="3">
        <v>0.49618340188276622</v>
      </c>
      <c r="J110" s="4">
        <f>(Table3[[#This Row],[Price of One Product]]*Table3[[#This Row],[No of Products in one Sale]])-Table3[[#This Row],[Discount]]</f>
        <v>909.50381659811728</v>
      </c>
    </row>
    <row r="111" spans="1:10" x14ac:dyDescent="0.3">
      <c r="A111" t="s">
        <v>134</v>
      </c>
      <c r="B111" t="s">
        <v>55</v>
      </c>
      <c r="C111" s="1">
        <v>44729</v>
      </c>
      <c r="D111" t="s">
        <v>63</v>
      </c>
      <c r="E111" t="s">
        <v>66</v>
      </c>
      <c r="F111">
        <v>60</v>
      </c>
      <c r="G111" t="s">
        <v>2</v>
      </c>
      <c r="H111" s="2">
        <v>13</v>
      </c>
      <c r="I111" s="3">
        <v>0.62889621592411693</v>
      </c>
      <c r="J111" s="4">
        <f>(Table3[[#This Row],[Price of One Product]]*Table3[[#This Row],[No of Products in one Sale]])-Table3[[#This Row],[Discount]]</f>
        <v>779.3711037840759</v>
      </c>
    </row>
    <row r="112" spans="1:10" x14ac:dyDescent="0.3">
      <c r="A112" t="s">
        <v>135</v>
      </c>
      <c r="B112" t="s">
        <v>56</v>
      </c>
      <c r="C112" s="1">
        <v>44738</v>
      </c>
      <c r="D112" t="s">
        <v>64</v>
      </c>
      <c r="E112" t="s">
        <v>67</v>
      </c>
      <c r="F112">
        <v>95</v>
      </c>
      <c r="G112" t="s">
        <v>0</v>
      </c>
      <c r="H112" s="2">
        <v>8</v>
      </c>
      <c r="I112" s="3">
        <v>0.87580490637929664</v>
      </c>
      <c r="J112" s="4">
        <f>(Table3[[#This Row],[Price of One Product]]*Table3[[#This Row],[No of Products in one Sale]])-Table3[[#This Row],[Discount]]</f>
        <v>759.12419509362076</v>
      </c>
    </row>
    <row r="113" spans="1:10" x14ac:dyDescent="0.3">
      <c r="A113" t="s">
        <v>136</v>
      </c>
      <c r="B113" t="s">
        <v>51</v>
      </c>
      <c r="C113" s="1">
        <v>44740</v>
      </c>
      <c r="D113" t="s">
        <v>59</v>
      </c>
      <c r="E113" t="s">
        <v>67</v>
      </c>
      <c r="F113">
        <v>72</v>
      </c>
      <c r="G113" t="s">
        <v>1</v>
      </c>
      <c r="H113" s="2">
        <v>11</v>
      </c>
      <c r="I113" s="3">
        <v>0.37069854126093349</v>
      </c>
      <c r="J113" s="4">
        <f>(Table3[[#This Row],[Price of One Product]]*Table3[[#This Row],[No of Products in one Sale]])-Table3[[#This Row],[Discount]]</f>
        <v>791.62930145873906</v>
      </c>
    </row>
    <row r="114" spans="1:10" x14ac:dyDescent="0.3">
      <c r="A114" t="s">
        <v>137</v>
      </c>
      <c r="B114" t="s">
        <v>52</v>
      </c>
      <c r="C114" s="1">
        <v>44755</v>
      </c>
      <c r="D114" t="s">
        <v>60</v>
      </c>
      <c r="E114" t="s">
        <v>67</v>
      </c>
      <c r="F114">
        <v>65</v>
      </c>
      <c r="G114" t="s">
        <v>2</v>
      </c>
      <c r="H114" s="2">
        <v>10</v>
      </c>
      <c r="I114" s="3">
        <v>0.64422602074286228</v>
      </c>
      <c r="J114" s="4">
        <f>(Table3[[#This Row],[Price of One Product]]*Table3[[#This Row],[No of Products in one Sale]])-Table3[[#This Row],[Discount]]</f>
        <v>649.35577397925715</v>
      </c>
    </row>
    <row r="115" spans="1:10" x14ac:dyDescent="0.3">
      <c r="A115" t="s">
        <v>138</v>
      </c>
      <c r="B115" t="s">
        <v>53</v>
      </c>
      <c r="C115" s="1">
        <v>44755</v>
      </c>
      <c r="D115" t="s">
        <v>61</v>
      </c>
      <c r="E115" t="s">
        <v>66</v>
      </c>
      <c r="F115">
        <v>250</v>
      </c>
      <c r="G115" t="s">
        <v>0</v>
      </c>
      <c r="H115" s="2">
        <v>2</v>
      </c>
      <c r="I115" s="3">
        <v>0.76652707543193765</v>
      </c>
      <c r="J115" s="4">
        <f>(Table3[[#This Row],[Price of One Product]]*Table3[[#This Row],[No of Products in one Sale]])-Table3[[#This Row],[Discount]]</f>
        <v>499.23347292456805</v>
      </c>
    </row>
    <row r="116" spans="1:10" x14ac:dyDescent="0.3">
      <c r="A116" t="s">
        <v>139</v>
      </c>
      <c r="B116" t="s">
        <v>54</v>
      </c>
      <c r="C116" s="1">
        <v>44764</v>
      </c>
      <c r="D116" t="s">
        <v>62</v>
      </c>
      <c r="E116" t="s">
        <v>66</v>
      </c>
      <c r="F116">
        <v>130</v>
      </c>
      <c r="G116" t="s">
        <v>1</v>
      </c>
      <c r="H116" s="2">
        <v>2</v>
      </c>
      <c r="I116" s="3">
        <v>0.74416329829954486</v>
      </c>
      <c r="J116" s="4">
        <f>(Table3[[#This Row],[Price of One Product]]*Table3[[#This Row],[No of Products in one Sale]])-Table3[[#This Row],[Discount]]</f>
        <v>259.25583670170045</v>
      </c>
    </row>
    <row r="117" spans="1:10" x14ac:dyDescent="0.3">
      <c r="A117" t="s">
        <v>140</v>
      </c>
      <c r="B117" t="s">
        <v>51</v>
      </c>
      <c r="C117" s="1">
        <v>44735</v>
      </c>
      <c r="D117" t="s">
        <v>59</v>
      </c>
      <c r="E117" t="s">
        <v>66</v>
      </c>
      <c r="F117">
        <v>72</v>
      </c>
      <c r="G117" t="s">
        <v>2</v>
      </c>
      <c r="H117" s="2">
        <v>8</v>
      </c>
      <c r="I117" s="3">
        <v>0.48484032292333201</v>
      </c>
      <c r="J117" s="4">
        <f>(Table3[[#This Row],[Price of One Product]]*Table3[[#This Row],[No of Products in one Sale]])-Table3[[#This Row],[Discount]]</f>
        <v>575.51515967707667</v>
      </c>
    </row>
    <row r="118" spans="1:10" x14ac:dyDescent="0.3">
      <c r="A118" t="s">
        <v>141</v>
      </c>
      <c r="B118" t="s">
        <v>52</v>
      </c>
      <c r="C118" s="1">
        <v>44734</v>
      </c>
      <c r="D118" t="s">
        <v>60</v>
      </c>
      <c r="E118" t="s">
        <v>66</v>
      </c>
      <c r="F118">
        <v>65</v>
      </c>
      <c r="G118" t="s">
        <v>0</v>
      </c>
      <c r="H118" s="2">
        <v>8</v>
      </c>
      <c r="I118" s="3">
        <v>0.10556900790048951</v>
      </c>
      <c r="J118" s="4">
        <f>(Table3[[#This Row],[Price of One Product]]*Table3[[#This Row],[No of Products in one Sale]])-Table3[[#This Row],[Discount]]</f>
        <v>519.8944309920995</v>
      </c>
    </row>
    <row r="119" spans="1:10" x14ac:dyDescent="0.3">
      <c r="A119" t="s">
        <v>142</v>
      </c>
      <c r="B119" t="s">
        <v>53</v>
      </c>
      <c r="C119" s="1">
        <v>44728</v>
      </c>
      <c r="D119" t="s">
        <v>61</v>
      </c>
      <c r="E119" t="s">
        <v>66</v>
      </c>
      <c r="F119">
        <v>250</v>
      </c>
      <c r="G119" t="s">
        <v>1</v>
      </c>
      <c r="H119" s="2">
        <v>1</v>
      </c>
      <c r="I119" s="3">
        <v>0.35681327352398817</v>
      </c>
      <c r="J119" s="4">
        <f>(Table3[[#This Row],[Price of One Product]]*Table3[[#This Row],[No of Products in one Sale]])-Table3[[#This Row],[Discount]]</f>
        <v>249.64318672647602</v>
      </c>
    </row>
    <row r="120" spans="1:10" x14ac:dyDescent="0.3">
      <c r="A120" t="s">
        <v>143</v>
      </c>
      <c r="B120" t="s">
        <v>54</v>
      </c>
      <c r="C120" s="1">
        <v>44739</v>
      </c>
      <c r="D120" t="s">
        <v>62</v>
      </c>
      <c r="E120" t="s">
        <v>66</v>
      </c>
      <c r="F120">
        <v>130</v>
      </c>
      <c r="G120" t="s">
        <v>2</v>
      </c>
      <c r="H120" s="2">
        <v>2</v>
      </c>
      <c r="I120" s="3">
        <v>0.38966155247167111</v>
      </c>
      <c r="J120" s="4">
        <f>(Table3[[#This Row],[Price of One Product]]*Table3[[#This Row],[No of Products in one Sale]])-Table3[[#This Row],[Discount]]</f>
        <v>259.61033844752831</v>
      </c>
    </row>
    <row r="121" spans="1:10" x14ac:dyDescent="0.3">
      <c r="A121" t="s">
        <v>144</v>
      </c>
      <c r="B121" t="s">
        <v>55</v>
      </c>
      <c r="C121" s="1">
        <v>44765</v>
      </c>
      <c r="D121" t="s">
        <v>63</v>
      </c>
      <c r="E121" t="s">
        <v>66</v>
      </c>
      <c r="F121">
        <v>60</v>
      </c>
      <c r="G121" t="s">
        <v>0</v>
      </c>
      <c r="H121" s="2">
        <v>6</v>
      </c>
      <c r="I121" s="3">
        <v>0.27342799854809485</v>
      </c>
      <c r="J121" s="4">
        <f>(Table3[[#This Row],[Price of One Product]]*Table3[[#This Row],[No of Products in one Sale]])-Table3[[#This Row],[Discount]]</f>
        <v>359.72657200145193</v>
      </c>
    </row>
    <row r="122" spans="1:10" x14ac:dyDescent="0.3">
      <c r="A122" t="s">
        <v>145</v>
      </c>
      <c r="B122" t="s">
        <v>51</v>
      </c>
      <c r="C122" s="1">
        <v>44740</v>
      </c>
      <c r="D122" t="s">
        <v>59</v>
      </c>
      <c r="E122" t="s">
        <v>66</v>
      </c>
      <c r="F122">
        <v>72</v>
      </c>
      <c r="G122" t="s">
        <v>1</v>
      </c>
      <c r="H122" s="2">
        <v>11</v>
      </c>
      <c r="I122" s="3">
        <v>0.68404340685026022</v>
      </c>
      <c r="J122" s="4">
        <f>(Table3[[#This Row],[Price of One Product]]*Table3[[#This Row],[No of Products in one Sale]])-Table3[[#This Row],[Discount]]</f>
        <v>791.31595659314974</v>
      </c>
    </row>
    <row r="123" spans="1:10" x14ac:dyDescent="0.3">
      <c r="A123" t="s">
        <v>146</v>
      </c>
      <c r="B123" t="s">
        <v>52</v>
      </c>
      <c r="C123" s="1">
        <v>44734</v>
      </c>
      <c r="D123" t="s">
        <v>60</v>
      </c>
      <c r="E123" t="s">
        <v>66</v>
      </c>
      <c r="F123">
        <v>65</v>
      </c>
      <c r="G123" t="s">
        <v>2</v>
      </c>
      <c r="H123" s="2">
        <v>4</v>
      </c>
      <c r="I123" s="3">
        <v>0.30511671475159663</v>
      </c>
      <c r="J123" s="4">
        <f>(Table3[[#This Row],[Price of One Product]]*Table3[[#This Row],[No of Products in one Sale]])-Table3[[#This Row],[Discount]]</f>
        <v>259.69488328524841</v>
      </c>
    </row>
    <row r="124" spans="1:10" x14ac:dyDescent="0.3">
      <c r="A124" t="s">
        <v>147</v>
      </c>
      <c r="B124" t="s">
        <v>53</v>
      </c>
      <c r="C124" s="1">
        <v>44727</v>
      </c>
      <c r="D124" t="s">
        <v>61</v>
      </c>
      <c r="E124" t="s">
        <v>67</v>
      </c>
      <c r="F124">
        <v>250</v>
      </c>
      <c r="G124" t="s">
        <v>0</v>
      </c>
      <c r="H124" s="2">
        <v>3</v>
      </c>
      <c r="I124" s="3">
        <v>0.26634683182511409</v>
      </c>
      <c r="J124" s="4">
        <f>(Table3[[#This Row],[Price of One Product]]*Table3[[#This Row],[No of Products in one Sale]])-Table3[[#This Row],[Discount]]</f>
        <v>749.7336531681749</v>
      </c>
    </row>
    <row r="125" spans="1:10" x14ac:dyDescent="0.3">
      <c r="A125" t="s">
        <v>148</v>
      </c>
      <c r="B125" t="s">
        <v>54</v>
      </c>
      <c r="C125" s="1">
        <v>44737</v>
      </c>
      <c r="D125" t="s">
        <v>62</v>
      </c>
      <c r="E125" t="s">
        <v>66</v>
      </c>
      <c r="F125">
        <v>130</v>
      </c>
      <c r="G125" t="s">
        <v>1</v>
      </c>
      <c r="H125" s="2">
        <v>2</v>
      </c>
      <c r="I125" s="3">
        <v>0.95598379426073032</v>
      </c>
      <c r="J125" s="4">
        <f>(Table3[[#This Row],[Price of One Product]]*Table3[[#This Row],[No of Products in one Sale]])-Table3[[#This Row],[Discount]]</f>
        <v>259.0440162057393</v>
      </c>
    </row>
    <row r="126" spans="1:10" x14ac:dyDescent="0.3">
      <c r="A126" t="s">
        <v>149</v>
      </c>
      <c r="B126" t="s">
        <v>51</v>
      </c>
      <c r="C126" s="1">
        <v>44747</v>
      </c>
      <c r="D126" t="s">
        <v>59</v>
      </c>
      <c r="E126" t="s">
        <v>66</v>
      </c>
      <c r="F126">
        <v>72</v>
      </c>
      <c r="G126" t="s">
        <v>2</v>
      </c>
      <c r="H126" s="2">
        <v>3</v>
      </c>
      <c r="I126" s="3">
        <v>0.78465682989488972</v>
      </c>
      <c r="J126" s="4">
        <f>(Table3[[#This Row],[Price of One Product]]*Table3[[#This Row],[No of Products in one Sale]])-Table3[[#This Row],[Discount]]</f>
        <v>215.21534317010511</v>
      </c>
    </row>
    <row r="127" spans="1:10" x14ac:dyDescent="0.3">
      <c r="A127" t="s">
        <v>150</v>
      </c>
      <c r="B127" t="s">
        <v>52</v>
      </c>
      <c r="C127" s="1">
        <v>44754</v>
      </c>
      <c r="D127" t="s">
        <v>60</v>
      </c>
      <c r="E127" t="s">
        <v>66</v>
      </c>
      <c r="F127">
        <v>65</v>
      </c>
      <c r="G127" t="s">
        <v>0</v>
      </c>
      <c r="H127" s="2">
        <v>4</v>
      </c>
      <c r="I127" s="3">
        <v>0.92531650826605816</v>
      </c>
      <c r="J127" s="4">
        <f>(Table3[[#This Row],[Price of One Product]]*Table3[[#This Row],[No of Products in one Sale]])-Table3[[#This Row],[Discount]]</f>
        <v>259.07468349173394</v>
      </c>
    </row>
    <row r="128" spans="1:10" x14ac:dyDescent="0.3">
      <c r="A128" t="s">
        <v>151</v>
      </c>
      <c r="B128" t="s">
        <v>53</v>
      </c>
      <c r="C128" s="1">
        <v>44760</v>
      </c>
      <c r="D128" t="s">
        <v>61</v>
      </c>
      <c r="E128" t="s">
        <v>66</v>
      </c>
      <c r="F128">
        <v>250</v>
      </c>
      <c r="G128" t="s">
        <v>1</v>
      </c>
      <c r="H128" s="2">
        <v>3</v>
      </c>
      <c r="I128" s="3">
        <v>0.91314982692991542</v>
      </c>
      <c r="J128" s="4">
        <f>(Table3[[#This Row],[Price of One Product]]*Table3[[#This Row],[No of Products in one Sale]])-Table3[[#This Row],[Discount]]</f>
        <v>749.08685017307005</v>
      </c>
    </row>
    <row r="129" spans="1:10" x14ac:dyDescent="0.3">
      <c r="A129" t="s">
        <v>152</v>
      </c>
      <c r="B129" t="s">
        <v>54</v>
      </c>
      <c r="C129" s="1">
        <v>44759</v>
      </c>
      <c r="D129" t="s">
        <v>62</v>
      </c>
      <c r="E129" t="s">
        <v>66</v>
      </c>
      <c r="F129">
        <v>130</v>
      </c>
      <c r="G129" t="s">
        <v>2</v>
      </c>
      <c r="H129" s="2">
        <v>2</v>
      </c>
      <c r="I129" s="3">
        <v>8.4586093307030152E-2</v>
      </c>
      <c r="J129" s="4">
        <f>(Table3[[#This Row],[Price of One Product]]*Table3[[#This Row],[No of Products in one Sale]])-Table3[[#This Row],[Discount]]</f>
        <v>259.91541390669295</v>
      </c>
    </row>
    <row r="130" spans="1:10" x14ac:dyDescent="0.3">
      <c r="A130" t="s">
        <v>153</v>
      </c>
      <c r="B130" t="s">
        <v>55</v>
      </c>
      <c r="C130" s="1">
        <v>44735</v>
      </c>
      <c r="D130" t="s">
        <v>63</v>
      </c>
      <c r="E130" t="s">
        <v>67</v>
      </c>
      <c r="F130">
        <v>60</v>
      </c>
      <c r="G130" t="s">
        <v>0</v>
      </c>
      <c r="H130" s="2">
        <v>7</v>
      </c>
      <c r="I130" s="3">
        <v>0.92983220282837542</v>
      </c>
      <c r="J130" s="4">
        <f>(Table3[[#This Row],[Price of One Product]]*Table3[[#This Row],[No of Products in one Sale]])-Table3[[#This Row],[Discount]]</f>
        <v>419.07016779717162</v>
      </c>
    </row>
    <row r="131" spans="1:10" x14ac:dyDescent="0.3">
      <c r="A131" t="s">
        <v>154</v>
      </c>
      <c r="B131" t="s">
        <v>56</v>
      </c>
      <c r="C131" s="1">
        <v>44734</v>
      </c>
      <c r="D131" t="s">
        <v>64</v>
      </c>
      <c r="E131" t="s">
        <v>66</v>
      </c>
      <c r="F131">
        <v>95</v>
      </c>
      <c r="G131" t="s">
        <v>1</v>
      </c>
      <c r="H131" s="2">
        <v>6</v>
      </c>
      <c r="I131" s="3">
        <v>0.13029960752667558</v>
      </c>
      <c r="J131" s="4">
        <f>(Table3[[#This Row],[Price of One Product]]*Table3[[#This Row],[No of Products in one Sale]])-Table3[[#This Row],[Discount]]</f>
        <v>569.86970039247331</v>
      </c>
    </row>
    <row r="132" spans="1:10" x14ac:dyDescent="0.3">
      <c r="A132" t="s">
        <v>155</v>
      </c>
      <c r="B132" t="s">
        <v>51</v>
      </c>
      <c r="C132" s="1">
        <v>44753</v>
      </c>
      <c r="D132" t="s">
        <v>59</v>
      </c>
      <c r="E132" t="s">
        <v>66</v>
      </c>
      <c r="F132">
        <v>72</v>
      </c>
      <c r="G132" t="s">
        <v>2</v>
      </c>
      <c r="H132" s="2">
        <v>6</v>
      </c>
      <c r="I132" s="3">
        <v>0.41456728266200249</v>
      </c>
      <c r="J132" s="4">
        <f>(Table3[[#This Row],[Price of One Product]]*Table3[[#This Row],[No of Products in one Sale]])-Table3[[#This Row],[Discount]]</f>
        <v>431.58543271733799</v>
      </c>
    </row>
    <row r="133" spans="1:10" x14ac:dyDescent="0.3">
      <c r="A133" t="s">
        <v>156</v>
      </c>
      <c r="B133" t="s">
        <v>52</v>
      </c>
      <c r="C133" s="1">
        <v>44739</v>
      </c>
      <c r="D133" t="s">
        <v>60</v>
      </c>
      <c r="E133" t="s">
        <v>66</v>
      </c>
      <c r="F133">
        <v>65</v>
      </c>
      <c r="G133" t="s">
        <v>0</v>
      </c>
      <c r="H133" s="2">
        <v>8</v>
      </c>
      <c r="I133" s="3">
        <v>0.77953807822657883</v>
      </c>
      <c r="J133" s="4">
        <f>(Table3[[#This Row],[Price of One Product]]*Table3[[#This Row],[No of Products in one Sale]])-Table3[[#This Row],[Discount]]</f>
        <v>519.22046192177345</v>
      </c>
    </row>
    <row r="134" spans="1:10" x14ac:dyDescent="0.3">
      <c r="A134" t="s">
        <v>157</v>
      </c>
      <c r="B134" t="s">
        <v>53</v>
      </c>
      <c r="C134" s="1">
        <v>44740</v>
      </c>
      <c r="D134" t="s">
        <v>61</v>
      </c>
      <c r="E134" t="s">
        <v>67</v>
      </c>
      <c r="F134">
        <v>250</v>
      </c>
      <c r="G134" t="s">
        <v>1</v>
      </c>
      <c r="H134" s="2">
        <v>3</v>
      </c>
      <c r="I134" s="3">
        <v>0.56602493379943331</v>
      </c>
      <c r="J134" s="4">
        <f>(Table3[[#This Row],[Price of One Product]]*Table3[[#This Row],[No of Products in one Sale]])-Table3[[#This Row],[Discount]]</f>
        <v>749.43397506620056</v>
      </c>
    </row>
    <row r="135" spans="1:10" x14ac:dyDescent="0.3">
      <c r="A135" t="s">
        <v>158</v>
      </c>
      <c r="B135" t="s">
        <v>54</v>
      </c>
      <c r="C135" s="1">
        <v>44748</v>
      </c>
      <c r="D135" t="s">
        <v>62</v>
      </c>
      <c r="E135" t="s">
        <v>67</v>
      </c>
      <c r="F135">
        <v>130</v>
      </c>
      <c r="G135" t="s">
        <v>2</v>
      </c>
      <c r="H135" s="2">
        <v>2</v>
      </c>
      <c r="I135" s="3">
        <v>0.7922771947085826</v>
      </c>
      <c r="J135" s="4">
        <f>(Table3[[#This Row],[Price of One Product]]*Table3[[#This Row],[No of Products in one Sale]])-Table3[[#This Row],[Discount]]</f>
        <v>259.20772280529144</v>
      </c>
    </row>
    <row r="136" spans="1:10" x14ac:dyDescent="0.3">
      <c r="A136" t="s">
        <v>159</v>
      </c>
      <c r="B136" t="s">
        <v>51</v>
      </c>
      <c r="C136" s="1">
        <v>44731</v>
      </c>
      <c r="D136" t="s">
        <v>59</v>
      </c>
      <c r="E136" t="s">
        <v>67</v>
      </c>
      <c r="F136">
        <v>72</v>
      </c>
      <c r="G136" t="s">
        <v>0</v>
      </c>
      <c r="H136" s="2">
        <v>9</v>
      </c>
      <c r="I136" s="3">
        <v>9.6806596410280221E-2</v>
      </c>
      <c r="J136" s="4">
        <f>(Table3[[#This Row],[Price of One Product]]*Table3[[#This Row],[No of Products in one Sale]])-Table3[[#This Row],[Discount]]</f>
        <v>647.90319340358974</v>
      </c>
    </row>
    <row r="137" spans="1:10" x14ac:dyDescent="0.3">
      <c r="A137" t="s">
        <v>160</v>
      </c>
      <c r="B137" t="s">
        <v>52</v>
      </c>
      <c r="C137" s="1">
        <v>44763</v>
      </c>
      <c r="D137" t="s">
        <v>60</v>
      </c>
      <c r="E137" t="s">
        <v>67</v>
      </c>
      <c r="F137">
        <v>65</v>
      </c>
      <c r="G137" t="s">
        <v>1</v>
      </c>
      <c r="H137" s="2">
        <v>8</v>
      </c>
      <c r="I137" s="3">
        <v>0.10738058788365801</v>
      </c>
      <c r="J137" s="4">
        <f>(Table3[[#This Row],[Price of One Product]]*Table3[[#This Row],[No of Products in one Sale]])-Table3[[#This Row],[Discount]]</f>
        <v>519.89261941211635</v>
      </c>
    </row>
    <row r="138" spans="1:10" x14ac:dyDescent="0.3">
      <c r="A138" t="s">
        <v>161</v>
      </c>
      <c r="B138" t="s">
        <v>53</v>
      </c>
      <c r="C138" s="1">
        <v>44733</v>
      </c>
      <c r="D138" t="s">
        <v>61</v>
      </c>
      <c r="E138" t="s">
        <v>67</v>
      </c>
      <c r="F138">
        <v>250</v>
      </c>
      <c r="G138" t="s">
        <v>2</v>
      </c>
      <c r="H138" s="2">
        <v>1</v>
      </c>
      <c r="I138" s="3">
        <v>0.68298720032284699</v>
      </c>
      <c r="J138" s="4">
        <f>(Table3[[#This Row],[Price of One Product]]*Table3[[#This Row],[No of Products in one Sale]])-Table3[[#This Row],[Discount]]</f>
        <v>249.31701279967714</v>
      </c>
    </row>
    <row r="139" spans="1:10" x14ac:dyDescent="0.3">
      <c r="A139" t="s">
        <v>162</v>
      </c>
      <c r="B139" t="s">
        <v>54</v>
      </c>
      <c r="C139" s="1">
        <v>44746</v>
      </c>
      <c r="D139" t="s">
        <v>62</v>
      </c>
      <c r="E139" t="s">
        <v>67</v>
      </c>
      <c r="F139">
        <v>130</v>
      </c>
      <c r="G139" t="s">
        <v>0</v>
      </c>
      <c r="H139" s="2">
        <v>2</v>
      </c>
      <c r="I139" s="3">
        <v>8.8476327566971991E-2</v>
      </c>
      <c r="J139" s="4">
        <f>(Table3[[#This Row],[Price of One Product]]*Table3[[#This Row],[No of Products in one Sale]])-Table3[[#This Row],[Discount]]</f>
        <v>259.91152367243302</v>
      </c>
    </row>
    <row r="140" spans="1:10" x14ac:dyDescent="0.3">
      <c r="A140" t="s">
        <v>163</v>
      </c>
      <c r="B140" t="s">
        <v>51</v>
      </c>
      <c r="C140" s="1">
        <v>44755</v>
      </c>
      <c r="D140" t="s">
        <v>59</v>
      </c>
      <c r="E140" t="s">
        <v>66</v>
      </c>
      <c r="F140">
        <v>72</v>
      </c>
      <c r="G140" t="s">
        <v>0</v>
      </c>
      <c r="H140" s="2">
        <v>9</v>
      </c>
      <c r="I140" s="3">
        <v>0.12263076179640997</v>
      </c>
      <c r="J140" s="4">
        <f>(Table3[[#This Row],[Price of One Product]]*Table3[[#This Row],[No of Products in one Sale]])-Table3[[#This Row],[Discount]]</f>
        <v>647.87736923820364</v>
      </c>
    </row>
    <row r="141" spans="1:10" x14ac:dyDescent="0.3">
      <c r="A141" t="s">
        <v>164</v>
      </c>
      <c r="B141" t="s">
        <v>52</v>
      </c>
      <c r="C141" s="1">
        <v>44755</v>
      </c>
      <c r="D141" t="s">
        <v>60</v>
      </c>
      <c r="E141" t="s">
        <v>67</v>
      </c>
      <c r="F141">
        <v>65</v>
      </c>
      <c r="G141" t="s">
        <v>1</v>
      </c>
      <c r="H141" s="2">
        <v>7</v>
      </c>
      <c r="I141" s="3">
        <v>0.21348123854438894</v>
      </c>
      <c r="J141" s="4">
        <f>(Table3[[#This Row],[Price of One Product]]*Table3[[#This Row],[No of Products in one Sale]])-Table3[[#This Row],[Discount]]</f>
        <v>454.78651876145562</v>
      </c>
    </row>
    <row r="142" spans="1:10" x14ac:dyDescent="0.3">
      <c r="A142" t="s">
        <v>165</v>
      </c>
      <c r="B142" t="s">
        <v>53</v>
      </c>
      <c r="C142" s="1">
        <v>44727</v>
      </c>
      <c r="D142" t="s">
        <v>61</v>
      </c>
      <c r="E142" t="s">
        <v>66</v>
      </c>
      <c r="F142">
        <v>250</v>
      </c>
      <c r="G142" t="s">
        <v>2</v>
      </c>
      <c r="H142" s="2">
        <v>3</v>
      </c>
      <c r="I142" s="3">
        <v>0.51777110877083832</v>
      </c>
      <c r="J142" s="4">
        <f>(Table3[[#This Row],[Price of One Product]]*Table3[[#This Row],[No of Products in one Sale]])-Table3[[#This Row],[Discount]]</f>
        <v>749.48222889122917</v>
      </c>
    </row>
    <row r="143" spans="1:10" x14ac:dyDescent="0.3">
      <c r="A143" t="s">
        <v>166</v>
      </c>
      <c r="B143" t="s">
        <v>54</v>
      </c>
      <c r="C143" s="1">
        <v>44746</v>
      </c>
      <c r="D143" t="s">
        <v>62</v>
      </c>
      <c r="E143" t="s">
        <v>67</v>
      </c>
      <c r="F143">
        <v>130</v>
      </c>
      <c r="G143" t="s">
        <v>0</v>
      </c>
      <c r="H143" s="2">
        <v>3</v>
      </c>
      <c r="I143" s="3">
        <v>0.2471412366587864</v>
      </c>
      <c r="J143" s="4">
        <f>(Table3[[#This Row],[Price of One Product]]*Table3[[#This Row],[No of Products in one Sale]])-Table3[[#This Row],[Discount]]</f>
        <v>389.75285876334124</v>
      </c>
    </row>
    <row r="144" spans="1:10" x14ac:dyDescent="0.3">
      <c r="A144" t="s">
        <v>167</v>
      </c>
      <c r="B144" t="s">
        <v>51</v>
      </c>
      <c r="C144" s="1">
        <v>44740</v>
      </c>
      <c r="D144" t="s">
        <v>59</v>
      </c>
      <c r="E144" t="s">
        <v>66</v>
      </c>
      <c r="F144">
        <v>72</v>
      </c>
      <c r="G144" t="s">
        <v>1</v>
      </c>
      <c r="H144" s="2">
        <v>4</v>
      </c>
      <c r="I144" s="3">
        <v>0.74108890181243625</v>
      </c>
      <c r="J144" s="4">
        <f>(Table3[[#This Row],[Price of One Product]]*Table3[[#This Row],[No of Products in one Sale]])-Table3[[#This Row],[Discount]]</f>
        <v>287.25891109818758</v>
      </c>
    </row>
    <row r="145" spans="1:10" x14ac:dyDescent="0.3">
      <c r="A145" t="s">
        <v>168</v>
      </c>
      <c r="B145" t="s">
        <v>52</v>
      </c>
      <c r="C145" s="1">
        <v>44743</v>
      </c>
      <c r="D145" t="s">
        <v>60</v>
      </c>
      <c r="E145" t="s">
        <v>67</v>
      </c>
      <c r="F145">
        <v>65</v>
      </c>
      <c r="G145" t="s">
        <v>2</v>
      </c>
      <c r="H145" s="2">
        <v>5</v>
      </c>
      <c r="I145" s="3">
        <v>0.7589550474918334</v>
      </c>
      <c r="J145" s="4">
        <f>(Table3[[#This Row],[Price of One Product]]*Table3[[#This Row],[No of Products in one Sale]])-Table3[[#This Row],[Discount]]</f>
        <v>324.24104495250816</v>
      </c>
    </row>
    <row r="146" spans="1:10" x14ac:dyDescent="0.3">
      <c r="A146" t="s">
        <v>169</v>
      </c>
      <c r="B146" t="s">
        <v>53</v>
      </c>
      <c r="C146" s="1">
        <v>44737</v>
      </c>
      <c r="D146" t="s">
        <v>61</v>
      </c>
      <c r="E146" t="s">
        <v>66</v>
      </c>
      <c r="F146">
        <v>250</v>
      </c>
      <c r="G146" t="s">
        <v>0</v>
      </c>
      <c r="H146" s="2">
        <v>4</v>
      </c>
      <c r="I146" s="3">
        <v>0.39519452416647527</v>
      </c>
      <c r="J146" s="4">
        <f>(Table3[[#This Row],[Price of One Product]]*Table3[[#This Row],[No of Products in one Sale]])-Table3[[#This Row],[Discount]]</f>
        <v>999.60480547583347</v>
      </c>
    </row>
    <row r="147" spans="1:10" x14ac:dyDescent="0.3">
      <c r="A147" t="s">
        <v>170</v>
      </c>
      <c r="B147" t="s">
        <v>54</v>
      </c>
      <c r="C147" s="1">
        <v>44757</v>
      </c>
      <c r="D147" t="s">
        <v>62</v>
      </c>
      <c r="E147" t="s">
        <v>67</v>
      </c>
      <c r="F147">
        <v>130</v>
      </c>
      <c r="G147" t="s">
        <v>1</v>
      </c>
      <c r="H147" s="2">
        <v>5</v>
      </c>
      <c r="I147" s="3">
        <v>2.5857814158937731E-2</v>
      </c>
      <c r="J147" s="4">
        <f>(Table3[[#This Row],[Price of One Product]]*Table3[[#This Row],[No of Products in one Sale]])-Table3[[#This Row],[Discount]]</f>
        <v>649.97414218584106</v>
      </c>
    </row>
    <row r="148" spans="1:10" x14ac:dyDescent="0.3">
      <c r="A148" t="s">
        <v>171</v>
      </c>
      <c r="B148" t="s">
        <v>55</v>
      </c>
      <c r="C148" s="1">
        <v>44745</v>
      </c>
      <c r="D148" t="s">
        <v>63</v>
      </c>
      <c r="E148" t="s">
        <v>66</v>
      </c>
      <c r="F148">
        <v>60</v>
      </c>
      <c r="G148" t="s">
        <v>2</v>
      </c>
      <c r="H148" s="2">
        <v>10</v>
      </c>
      <c r="I148" s="3">
        <v>0.35224195755599907</v>
      </c>
      <c r="J148" s="4">
        <f>(Table3[[#This Row],[Price of One Product]]*Table3[[#This Row],[No of Products in one Sale]])-Table3[[#This Row],[Discount]]</f>
        <v>599.64775804244402</v>
      </c>
    </row>
    <row r="149" spans="1:10" x14ac:dyDescent="0.3">
      <c r="A149" t="s">
        <v>172</v>
      </c>
      <c r="B149" t="s">
        <v>51</v>
      </c>
      <c r="C149" s="1">
        <v>44760</v>
      </c>
      <c r="D149" t="s">
        <v>59</v>
      </c>
      <c r="E149" t="s">
        <v>67</v>
      </c>
      <c r="F149">
        <v>72</v>
      </c>
      <c r="G149" t="s">
        <v>0</v>
      </c>
      <c r="H149" s="2">
        <v>12</v>
      </c>
      <c r="I149" s="3">
        <v>4.2934737769464881E-2</v>
      </c>
      <c r="J149" s="4">
        <f>(Table3[[#This Row],[Price of One Product]]*Table3[[#This Row],[No of Products in one Sale]])-Table3[[#This Row],[Discount]]</f>
        <v>863.95706526223057</v>
      </c>
    </row>
    <row r="150" spans="1:10" x14ac:dyDescent="0.3">
      <c r="A150" t="s">
        <v>173</v>
      </c>
      <c r="B150" t="s">
        <v>52</v>
      </c>
      <c r="C150" s="1">
        <v>44750</v>
      </c>
      <c r="D150" t="s">
        <v>60</v>
      </c>
      <c r="E150" t="s">
        <v>66</v>
      </c>
      <c r="F150">
        <v>65</v>
      </c>
      <c r="G150" t="s">
        <v>1</v>
      </c>
      <c r="H150" s="2">
        <v>12</v>
      </c>
      <c r="I150" s="3">
        <v>6.8824781708392013E-3</v>
      </c>
      <c r="J150" s="4">
        <f>(Table3[[#This Row],[Price of One Product]]*Table3[[#This Row],[No of Products in one Sale]])-Table3[[#This Row],[Discount]]</f>
        <v>779.99311752182916</v>
      </c>
    </row>
    <row r="151" spans="1:10" x14ac:dyDescent="0.3">
      <c r="A151" t="s">
        <v>174</v>
      </c>
      <c r="B151" t="s">
        <v>53</v>
      </c>
      <c r="C151" s="1">
        <v>44742</v>
      </c>
      <c r="D151" t="s">
        <v>61</v>
      </c>
      <c r="E151" t="s">
        <v>67</v>
      </c>
      <c r="F151">
        <v>250</v>
      </c>
      <c r="G151" t="s">
        <v>2</v>
      </c>
      <c r="H151" s="2">
        <v>1</v>
      </c>
      <c r="I151" s="3">
        <v>0.8553400747255635</v>
      </c>
      <c r="J151" s="4">
        <f>(Table3[[#This Row],[Price of One Product]]*Table3[[#This Row],[No of Products in one Sale]])-Table3[[#This Row],[Discount]]</f>
        <v>249.14465992527442</v>
      </c>
    </row>
    <row r="152" spans="1:10" x14ac:dyDescent="0.3">
      <c r="A152" t="s">
        <v>175</v>
      </c>
      <c r="B152" t="s">
        <v>54</v>
      </c>
      <c r="C152" s="1">
        <v>44754</v>
      </c>
      <c r="D152" t="s">
        <v>62</v>
      </c>
      <c r="E152" t="s">
        <v>66</v>
      </c>
      <c r="F152">
        <v>130</v>
      </c>
      <c r="G152" t="s">
        <v>0</v>
      </c>
      <c r="H152" s="2">
        <v>6</v>
      </c>
      <c r="I152" s="3">
        <v>0.62107648533214554</v>
      </c>
      <c r="J152" s="4">
        <f>(Table3[[#This Row],[Price of One Product]]*Table3[[#This Row],[No of Products in one Sale]])-Table3[[#This Row],[Discount]]</f>
        <v>779.3789235146678</v>
      </c>
    </row>
    <row r="153" spans="1:10" x14ac:dyDescent="0.3">
      <c r="A153" t="s">
        <v>176</v>
      </c>
      <c r="B153" t="s">
        <v>51</v>
      </c>
      <c r="C153" s="1">
        <v>44746</v>
      </c>
      <c r="D153" t="s">
        <v>59</v>
      </c>
      <c r="E153" t="s">
        <v>67</v>
      </c>
      <c r="F153">
        <v>72</v>
      </c>
      <c r="G153" t="s">
        <v>1</v>
      </c>
      <c r="H153" s="2">
        <v>3</v>
      </c>
      <c r="I153" s="3">
        <v>0.93819201157518672</v>
      </c>
      <c r="J153" s="4">
        <f>(Table3[[#This Row],[Price of One Product]]*Table3[[#This Row],[No of Products in one Sale]])-Table3[[#This Row],[Discount]]</f>
        <v>215.06180798842482</v>
      </c>
    </row>
    <row r="154" spans="1:10" x14ac:dyDescent="0.3">
      <c r="A154" t="s">
        <v>177</v>
      </c>
      <c r="B154" t="s">
        <v>52</v>
      </c>
      <c r="C154" s="1">
        <v>44752</v>
      </c>
      <c r="D154" t="s">
        <v>60</v>
      </c>
      <c r="E154" t="s">
        <v>66</v>
      </c>
      <c r="F154">
        <v>65</v>
      </c>
      <c r="G154" t="s">
        <v>2</v>
      </c>
      <c r="H154" s="2">
        <v>12</v>
      </c>
      <c r="I154" s="3">
        <v>0.97731506347213748</v>
      </c>
      <c r="J154" s="4">
        <f>(Table3[[#This Row],[Price of One Product]]*Table3[[#This Row],[No of Products in one Sale]])-Table3[[#This Row],[Discount]]</f>
        <v>779.02268493652787</v>
      </c>
    </row>
    <row r="155" spans="1:10" x14ac:dyDescent="0.3">
      <c r="A155" t="s">
        <v>178</v>
      </c>
      <c r="B155" t="s">
        <v>53</v>
      </c>
      <c r="C155" s="1">
        <v>44725</v>
      </c>
      <c r="D155" t="s">
        <v>61</v>
      </c>
      <c r="E155" t="s">
        <v>67</v>
      </c>
      <c r="F155">
        <v>250</v>
      </c>
      <c r="G155" t="s">
        <v>0</v>
      </c>
      <c r="H155" s="2">
        <v>3</v>
      </c>
      <c r="I155" s="3">
        <v>0.93618769203099483</v>
      </c>
      <c r="J155" s="4">
        <f>(Table3[[#This Row],[Price of One Product]]*Table3[[#This Row],[No of Products in one Sale]])-Table3[[#This Row],[Discount]]</f>
        <v>749.06381230796899</v>
      </c>
    </row>
    <row r="156" spans="1:10" x14ac:dyDescent="0.3">
      <c r="A156" t="s">
        <v>179</v>
      </c>
      <c r="B156" t="s">
        <v>54</v>
      </c>
      <c r="C156" s="1">
        <v>44734</v>
      </c>
      <c r="D156" t="s">
        <v>62</v>
      </c>
      <c r="E156" t="s">
        <v>66</v>
      </c>
      <c r="F156">
        <v>130</v>
      </c>
      <c r="G156" t="s">
        <v>1</v>
      </c>
      <c r="H156" s="2">
        <v>5</v>
      </c>
      <c r="I156" s="3">
        <v>0.92747059451906588</v>
      </c>
      <c r="J156" s="4">
        <f>(Table3[[#This Row],[Price of One Product]]*Table3[[#This Row],[No of Products in one Sale]])-Table3[[#This Row],[Discount]]</f>
        <v>649.07252940548096</v>
      </c>
    </row>
    <row r="157" spans="1:10" x14ac:dyDescent="0.3">
      <c r="A157" t="s">
        <v>180</v>
      </c>
      <c r="B157" t="s">
        <v>55</v>
      </c>
      <c r="C157" s="1">
        <v>44761</v>
      </c>
      <c r="D157" t="s">
        <v>63</v>
      </c>
      <c r="E157" t="s">
        <v>66</v>
      </c>
      <c r="F157">
        <v>60</v>
      </c>
      <c r="G157" t="s">
        <v>2</v>
      </c>
      <c r="H157" s="2">
        <v>8</v>
      </c>
      <c r="I157" s="3">
        <v>9.8331104648150314E-2</v>
      </c>
      <c r="J157" s="4">
        <f>(Table3[[#This Row],[Price of One Product]]*Table3[[#This Row],[No of Products in one Sale]])-Table3[[#This Row],[Discount]]</f>
        <v>479.90166889535186</v>
      </c>
    </row>
    <row r="158" spans="1:10" x14ac:dyDescent="0.3">
      <c r="A158" t="s">
        <v>181</v>
      </c>
      <c r="B158" t="s">
        <v>56</v>
      </c>
      <c r="C158" s="1">
        <v>44735</v>
      </c>
      <c r="D158" t="s">
        <v>64</v>
      </c>
      <c r="E158" t="s">
        <v>67</v>
      </c>
      <c r="F158">
        <v>95</v>
      </c>
      <c r="G158" t="s">
        <v>0</v>
      </c>
      <c r="H158" s="2">
        <v>5</v>
      </c>
      <c r="I158" s="3">
        <v>4.5012478047171678E-3</v>
      </c>
      <c r="J158" s="4">
        <f>(Table3[[#This Row],[Price of One Product]]*Table3[[#This Row],[No of Products in one Sale]])-Table3[[#This Row],[Discount]]</f>
        <v>474.99549875219526</v>
      </c>
    </row>
    <row r="159" spans="1:10" x14ac:dyDescent="0.3">
      <c r="A159" t="s">
        <v>182</v>
      </c>
      <c r="B159" t="s">
        <v>51</v>
      </c>
      <c r="C159" s="1">
        <v>44753</v>
      </c>
      <c r="D159" t="s">
        <v>59</v>
      </c>
      <c r="E159" t="s">
        <v>67</v>
      </c>
      <c r="F159">
        <v>72</v>
      </c>
      <c r="G159" t="s">
        <v>1</v>
      </c>
      <c r="H159" s="2">
        <v>9</v>
      </c>
      <c r="I159" s="3">
        <v>0.22169192366246837</v>
      </c>
      <c r="J159" s="4">
        <f>(Table3[[#This Row],[Price of One Product]]*Table3[[#This Row],[No of Products in one Sale]])-Table3[[#This Row],[Discount]]</f>
        <v>647.77830807633757</v>
      </c>
    </row>
    <row r="160" spans="1:10" x14ac:dyDescent="0.3">
      <c r="A160" t="s">
        <v>183</v>
      </c>
      <c r="B160" t="s">
        <v>52</v>
      </c>
      <c r="C160" s="1">
        <v>44732</v>
      </c>
      <c r="D160" t="s">
        <v>60</v>
      </c>
      <c r="E160" t="s">
        <v>67</v>
      </c>
      <c r="F160">
        <v>65</v>
      </c>
      <c r="G160" t="s">
        <v>2</v>
      </c>
      <c r="H160" s="2">
        <v>6</v>
      </c>
      <c r="I160" s="3">
        <v>0.91624709117858605</v>
      </c>
      <c r="J160" s="4">
        <f>(Table3[[#This Row],[Price of One Product]]*Table3[[#This Row],[No of Products in one Sale]])-Table3[[#This Row],[Discount]]</f>
        <v>389.0837529088214</v>
      </c>
    </row>
    <row r="161" spans="1:10" x14ac:dyDescent="0.3">
      <c r="A161" t="s">
        <v>184</v>
      </c>
      <c r="B161" t="s">
        <v>53</v>
      </c>
      <c r="C161" s="1">
        <v>44748</v>
      </c>
      <c r="D161" t="s">
        <v>61</v>
      </c>
      <c r="E161" t="s">
        <v>66</v>
      </c>
      <c r="F161">
        <v>250</v>
      </c>
      <c r="G161" t="s">
        <v>0</v>
      </c>
      <c r="H161" s="2">
        <v>3</v>
      </c>
      <c r="I161" s="3">
        <v>0.61362516317019966</v>
      </c>
      <c r="J161" s="4">
        <f>(Table3[[#This Row],[Price of One Product]]*Table3[[#This Row],[No of Products in one Sale]])-Table3[[#This Row],[Discount]]</f>
        <v>749.38637483682976</v>
      </c>
    </row>
    <row r="162" spans="1:10" x14ac:dyDescent="0.3">
      <c r="A162" t="s">
        <v>185</v>
      </c>
      <c r="B162" t="s">
        <v>54</v>
      </c>
      <c r="C162" s="1">
        <v>44731</v>
      </c>
      <c r="D162" t="s">
        <v>62</v>
      </c>
      <c r="E162" t="s">
        <v>66</v>
      </c>
      <c r="F162">
        <v>130</v>
      </c>
      <c r="G162" t="s">
        <v>1</v>
      </c>
      <c r="H162" s="2">
        <v>4</v>
      </c>
      <c r="I162" s="3">
        <v>0.81572623665656485</v>
      </c>
      <c r="J162" s="4">
        <f>(Table3[[#This Row],[Price of One Product]]*Table3[[#This Row],[No of Products in one Sale]])-Table3[[#This Row],[Discount]]</f>
        <v>519.18427376334341</v>
      </c>
    </row>
    <row r="163" spans="1:10" x14ac:dyDescent="0.3">
      <c r="A163" t="s">
        <v>186</v>
      </c>
      <c r="B163" t="s">
        <v>51</v>
      </c>
      <c r="C163" s="1">
        <v>44725</v>
      </c>
      <c r="D163" t="s">
        <v>59</v>
      </c>
      <c r="E163" t="s">
        <v>66</v>
      </c>
      <c r="F163">
        <v>72</v>
      </c>
      <c r="G163" t="s">
        <v>2</v>
      </c>
      <c r="H163" s="2">
        <v>11</v>
      </c>
      <c r="I163" s="3">
        <v>0.60394772308749511</v>
      </c>
      <c r="J163" s="4">
        <f>(Table3[[#This Row],[Price of One Product]]*Table3[[#This Row],[No of Products in one Sale]])-Table3[[#This Row],[Discount]]</f>
        <v>791.39605227691254</v>
      </c>
    </row>
    <row r="164" spans="1:10" x14ac:dyDescent="0.3">
      <c r="A164" t="s">
        <v>187</v>
      </c>
      <c r="B164" t="s">
        <v>52</v>
      </c>
      <c r="C164" s="1">
        <v>44753</v>
      </c>
      <c r="D164" t="s">
        <v>60</v>
      </c>
      <c r="E164" t="s">
        <v>66</v>
      </c>
      <c r="F164">
        <v>65</v>
      </c>
      <c r="G164" t="s">
        <v>0</v>
      </c>
      <c r="H164" s="2">
        <v>7</v>
      </c>
      <c r="I164" s="3">
        <v>0.2716676542664398</v>
      </c>
      <c r="J164" s="4">
        <f>(Table3[[#This Row],[Price of One Product]]*Table3[[#This Row],[No of Products in one Sale]])-Table3[[#This Row],[Discount]]</f>
        <v>454.72833234573358</v>
      </c>
    </row>
    <row r="165" spans="1:10" x14ac:dyDescent="0.3">
      <c r="A165" t="s">
        <v>188</v>
      </c>
      <c r="B165" t="s">
        <v>53</v>
      </c>
      <c r="C165" s="1">
        <v>44738</v>
      </c>
      <c r="D165" t="s">
        <v>61</v>
      </c>
      <c r="E165" t="s">
        <v>66</v>
      </c>
      <c r="F165">
        <v>250</v>
      </c>
      <c r="G165" t="s">
        <v>1</v>
      </c>
      <c r="H165" s="2">
        <v>2</v>
      </c>
      <c r="I165" s="3">
        <v>0.56293228162406539</v>
      </c>
      <c r="J165" s="4">
        <f>(Table3[[#This Row],[Price of One Product]]*Table3[[#This Row],[No of Products in one Sale]])-Table3[[#This Row],[Discount]]</f>
        <v>499.43706771837594</v>
      </c>
    </row>
    <row r="166" spans="1:10" x14ac:dyDescent="0.3">
      <c r="A166" t="s">
        <v>189</v>
      </c>
      <c r="B166" t="s">
        <v>54</v>
      </c>
      <c r="C166" s="1">
        <v>44762</v>
      </c>
      <c r="D166" t="s">
        <v>62</v>
      </c>
      <c r="E166" t="s">
        <v>66</v>
      </c>
      <c r="F166">
        <v>130</v>
      </c>
      <c r="G166" t="s">
        <v>2</v>
      </c>
      <c r="H166" s="2">
        <v>4</v>
      </c>
      <c r="I166" s="3">
        <v>0.73579140219525918</v>
      </c>
      <c r="J166" s="4">
        <f>(Table3[[#This Row],[Price of One Product]]*Table3[[#This Row],[No of Products in one Sale]])-Table3[[#This Row],[Discount]]</f>
        <v>519.26420859780478</v>
      </c>
    </row>
    <row r="167" spans="1:10" x14ac:dyDescent="0.3">
      <c r="A167" t="s">
        <v>190</v>
      </c>
      <c r="B167" t="s">
        <v>55</v>
      </c>
      <c r="C167" s="1">
        <v>44756</v>
      </c>
      <c r="D167" t="s">
        <v>63</v>
      </c>
      <c r="E167" t="s">
        <v>66</v>
      </c>
      <c r="F167">
        <v>60</v>
      </c>
      <c r="G167" t="s">
        <v>0</v>
      </c>
      <c r="H167" s="2">
        <v>12</v>
      </c>
      <c r="I167" s="3">
        <v>0.44112931781121201</v>
      </c>
      <c r="J167" s="4">
        <f>(Table3[[#This Row],[Price of One Product]]*Table3[[#This Row],[No of Products in one Sale]])-Table3[[#This Row],[Discount]]</f>
        <v>719.55887068218874</v>
      </c>
    </row>
    <row r="168" spans="1:10" x14ac:dyDescent="0.3">
      <c r="A168" t="s">
        <v>191</v>
      </c>
      <c r="B168" t="s">
        <v>51</v>
      </c>
      <c r="C168" s="1">
        <v>44744</v>
      </c>
      <c r="D168" t="s">
        <v>59</v>
      </c>
      <c r="E168" t="s">
        <v>66</v>
      </c>
      <c r="F168">
        <v>72</v>
      </c>
      <c r="G168" t="s">
        <v>1</v>
      </c>
      <c r="H168" s="2">
        <v>11</v>
      </c>
      <c r="I168" s="3">
        <v>0.67026763876764872</v>
      </c>
      <c r="J168" s="4">
        <f>(Table3[[#This Row],[Price of One Product]]*Table3[[#This Row],[No of Products in one Sale]])-Table3[[#This Row],[Discount]]</f>
        <v>791.32973236123235</v>
      </c>
    </row>
    <row r="169" spans="1:10" x14ac:dyDescent="0.3">
      <c r="A169" t="s">
        <v>192</v>
      </c>
      <c r="B169" t="s">
        <v>52</v>
      </c>
      <c r="C169" s="1">
        <v>44753</v>
      </c>
      <c r="D169" t="s">
        <v>60</v>
      </c>
      <c r="E169" t="s">
        <v>66</v>
      </c>
      <c r="F169">
        <v>65</v>
      </c>
      <c r="G169" t="s">
        <v>2</v>
      </c>
      <c r="H169" s="2">
        <v>9</v>
      </c>
      <c r="I169" s="3">
        <v>0.21501842814819261</v>
      </c>
      <c r="J169" s="4">
        <f>(Table3[[#This Row],[Price of One Product]]*Table3[[#This Row],[No of Products in one Sale]])-Table3[[#This Row],[Discount]]</f>
        <v>584.78498157185186</v>
      </c>
    </row>
    <row r="170" spans="1:10" x14ac:dyDescent="0.3">
      <c r="A170" t="s">
        <v>193</v>
      </c>
      <c r="B170" t="s">
        <v>53</v>
      </c>
      <c r="C170" s="1">
        <v>44762</v>
      </c>
      <c r="D170" t="s">
        <v>61</v>
      </c>
      <c r="E170" t="s">
        <v>67</v>
      </c>
      <c r="F170">
        <v>250</v>
      </c>
      <c r="G170" t="s">
        <v>0</v>
      </c>
      <c r="H170" s="2">
        <v>3</v>
      </c>
      <c r="I170" s="3">
        <v>0.77528388030776896</v>
      </c>
      <c r="J170" s="4">
        <f>(Table3[[#This Row],[Price of One Product]]*Table3[[#This Row],[No of Products in one Sale]])-Table3[[#This Row],[Discount]]</f>
        <v>749.22471611969218</v>
      </c>
    </row>
    <row r="171" spans="1:10" x14ac:dyDescent="0.3">
      <c r="A171" t="s">
        <v>194</v>
      </c>
      <c r="B171" t="s">
        <v>54</v>
      </c>
      <c r="C171" s="1">
        <v>44740</v>
      </c>
      <c r="D171" t="s">
        <v>62</v>
      </c>
      <c r="E171" t="s">
        <v>66</v>
      </c>
      <c r="F171">
        <v>130</v>
      </c>
      <c r="G171" t="s">
        <v>1</v>
      </c>
      <c r="H171" s="2">
        <v>3</v>
      </c>
      <c r="I171" s="3">
        <v>0.32334348690445713</v>
      </c>
      <c r="J171" s="4">
        <f>(Table3[[#This Row],[Price of One Product]]*Table3[[#This Row],[No of Products in one Sale]])-Table3[[#This Row],[Discount]]</f>
        <v>389.67665651309557</v>
      </c>
    </row>
    <row r="172" spans="1:10" x14ac:dyDescent="0.3">
      <c r="A172" t="s">
        <v>195</v>
      </c>
      <c r="B172" t="s">
        <v>51</v>
      </c>
      <c r="C172" s="1">
        <v>44729</v>
      </c>
      <c r="D172" t="s">
        <v>59</v>
      </c>
      <c r="E172" t="s">
        <v>66</v>
      </c>
      <c r="F172">
        <v>72</v>
      </c>
      <c r="G172" t="s">
        <v>2</v>
      </c>
      <c r="H172" s="2">
        <v>5</v>
      </c>
      <c r="I172" s="3">
        <v>0.2117276391971491</v>
      </c>
      <c r="J172" s="4">
        <f>(Table3[[#This Row],[Price of One Product]]*Table3[[#This Row],[No of Products in one Sale]])-Table3[[#This Row],[Discount]]</f>
        <v>359.78827236080286</v>
      </c>
    </row>
    <row r="173" spans="1:10" x14ac:dyDescent="0.3">
      <c r="A173" t="s">
        <v>196</v>
      </c>
      <c r="B173" t="s">
        <v>52</v>
      </c>
      <c r="C173" s="1">
        <v>44727</v>
      </c>
      <c r="D173" t="s">
        <v>60</v>
      </c>
      <c r="E173" t="s">
        <v>66</v>
      </c>
      <c r="F173">
        <v>65</v>
      </c>
      <c r="G173" t="s">
        <v>0</v>
      </c>
      <c r="H173" s="2">
        <v>10</v>
      </c>
      <c r="I173" s="3">
        <v>0.99817658128489728</v>
      </c>
      <c r="J173" s="4">
        <f>(Table3[[#This Row],[Price of One Product]]*Table3[[#This Row],[No of Products in one Sale]])-Table3[[#This Row],[Discount]]</f>
        <v>649.00182341871505</v>
      </c>
    </row>
    <row r="174" spans="1:10" x14ac:dyDescent="0.3">
      <c r="A174" t="s">
        <v>197</v>
      </c>
      <c r="B174" t="s">
        <v>53</v>
      </c>
      <c r="C174" s="1">
        <v>44734</v>
      </c>
      <c r="D174" t="s">
        <v>61</v>
      </c>
      <c r="E174" t="s">
        <v>66</v>
      </c>
      <c r="F174">
        <v>250</v>
      </c>
      <c r="G174" t="s">
        <v>1</v>
      </c>
      <c r="H174" s="2">
        <v>3</v>
      </c>
      <c r="I174" s="3">
        <v>0.34321661485625221</v>
      </c>
      <c r="J174" s="4">
        <f>(Table3[[#This Row],[Price of One Product]]*Table3[[#This Row],[No of Products in one Sale]])-Table3[[#This Row],[Discount]]</f>
        <v>749.65678338514374</v>
      </c>
    </row>
    <row r="175" spans="1:10" x14ac:dyDescent="0.3">
      <c r="A175" t="s">
        <v>198</v>
      </c>
      <c r="B175" t="s">
        <v>54</v>
      </c>
      <c r="C175" s="1">
        <v>44744</v>
      </c>
      <c r="D175" t="s">
        <v>62</v>
      </c>
      <c r="E175" t="s">
        <v>66</v>
      </c>
      <c r="F175">
        <v>130</v>
      </c>
      <c r="G175" t="s">
        <v>2</v>
      </c>
      <c r="H175" s="2">
        <v>6</v>
      </c>
      <c r="I175" s="3">
        <v>0.17688363553653064</v>
      </c>
      <c r="J175" s="4">
        <f>(Table3[[#This Row],[Price of One Product]]*Table3[[#This Row],[No of Products in one Sale]])-Table3[[#This Row],[Discount]]</f>
        <v>779.82311636446343</v>
      </c>
    </row>
    <row r="176" spans="1:10" x14ac:dyDescent="0.3">
      <c r="A176" t="s">
        <v>199</v>
      </c>
      <c r="B176" t="s">
        <v>55</v>
      </c>
      <c r="C176" s="1">
        <v>44737</v>
      </c>
      <c r="D176" t="s">
        <v>63</v>
      </c>
      <c r="E176" t="s">
        <v>67</v>
      </c>
      <c r="F176">
        <v>60</v>
      </c>
      <c r="G176" t="s">
        <v>0</v>
      </c>
      <c r="H176" s="2">
        <v>12</v>
      </c>
      <c r="I176" s="3">
        <v>0.54853763527560739</v>
      </c>
      <c r="J176" s="4">
        <f>(Table3[[#This Row],[Price of One Product]]*Table3[[#This Row],[No of Products in one Sale]])-Table3[[#This Row],[Discount]]</f>
        <v>719.45146236472442</v>
      </c>
    </row>
    <row r="177" spans="1:10" x14ac:dyDescent="0.3">
      <c r="A177" t="s">
        <v>200</v>
      </c>
      <c r="B177" t="s">
        <v>56</v>
      </c>
      <c r="C177" s="1">
        <v>44752</v>
      </c>
      <c r="D177" t="s">
        <v>64</v>
      </c>
      <c r="E177" t="s">
        <v>66</v>
      </c>
      <c r="F177">
        <v>95</v>
      </c>
      <c r="G177" t="s">
        <v>1</v>
      </c>
      <c r="H177" s="2">
        <v>7</v>
      </c>
      <c r="I177" s="3">
        <v>0.40612729229894939</v>
      </c>
      <c r="J177" s="4">
        <f>(Table3[[#This Row],[Price of One Product]]*Table3[[#This Row],[No of Products in one Sale]])-Table3[[#This Row],[Discount]]</f>
        <v>664.59387270770105</v>
      </c>
    </row>
    <row r="178" spans="1:10" x14ac:dyDescent="0.3">
      <c r="A178" t="s">
        <v>201</v>
      </c>
      <c r="B178" t="s">
        <v>51</v>
      </c>
      <c r="C178" s="1">
        <v>44736</v>
      </c>
      <c r="D178" t="s">
        <v>59</v>
      </c>
      <c r="E178" t="s">
        <v>66</v>
      </c>
      <c r="F178">
        <v>72</v>
      </c>
      <c r="G178" t="s">
        <v>2</v>
      </c>
      <c r="H178" s="2">
        <v>6</v>
      </c>
      <c r="I178" s="3">
        <v>0.16780300089638589</v>
      </c>
      <c r="J178" s="4">
        <f>(Table3[[#This Row],[Price of One Product]]*Table3[[#This Row],[No of Products in one Sale]])-Table3[[#This Row],[Discount]]</f>
        <v>431.83219699910359</v>
      </c>
    </row>
    <row r="179" spans="1:10" x14ac:dyDescent="0.3">
      <c r="A179" t="s">
        <v>202</v>
      </c>
      <c r="B179" t="s">
        <v>52</v>
      </c>
      <c r="C179" s="1">
        <v>44752</v>
      </c>
      <c r="D179" t="s">
        <v>60</v>
      </c>
      <c r="E179" t="s">
        <v>66</v>
      </c>
      <c r="F179">
        <v>65</v>
      </c>
      <c r="G179" t="s">
        <v>0</v>
      </c>
      <c r="H179" s="2">
        <v>10</v>
      </c>
      <c r="I179" s="3">
        <v>0.91086777790941564</v>
      </c>
      <c r="J179" s="4">
        <f>(Table3[[#This Row],[Price of One Product]]*Table3[[#This Row],[No of Products in one Sale]])-Table3[[#This Row],[Discount]]</f>
        <v>649.0891322220906</v>
      </c>
    </row>
    <row r="180" spans="1:10" x14ac:dyDescent="0.3">
      <c r="A180" t="s">
        <v>203</v>
      </c>
      <c r="B180" t="s">
        <v>53</v>
      </c>
      <c r="C180" s="1">
        <v>44759</v>
      </c>
      <c r="D180" t="s">
        <v>61</v>
      </c>
      <c r="E180" t="s">
        <v>67</v>
      </c>
      <c r="F180">
        <v>250</v>
      </c>
      <c r="G180" t="s">
        <v>1</v>
      </c>
      <c r="H180" s="2">
        <v>3</v>
      </c>
      <c r="I180" s="3">
        <v>0.2731985494536886</v>
      </c>
      <c r="J180" s="4">
        <f>(Table3[[#This Row],[Price of One Product]]*Table3[[#This Row],[No of Products in one Sale]])-Table3[[#This Row],[Discount]]</f>
        <v>749.7268014505463</v>
      </c>
    </row>
    <row r="181" spans="1:10" x14ac:dyDescent="0.3">
      <c r="A181" t="s">
        <v>204</v>
      </c>
      <c r="B181" t="s">
        <v>54</v>
      </c>
      <c r="C181" s="1">
        <v>44763</v>
      </c>
      <c r="D181" t="s">
        <v>62</v>
      </c>
      <c r="E181" t="s">
        <v>67</v>
      </c>
      <c r="F181">
        <v>130</v>
      </c>
      <c r="G181" t="s">
        <v>2</v>
      </c>
      <c r="H181" s="2">
        <v>4</v>
      </c>
      <c r="I181" s="3">
        <v>0.81984662786178419</v>
      </c>
      <c r="J181" s="4">
        <f>(Table3[[#This Row],[Price of One Product]]*Table3[[#This Row],[No of Products in one Sale]])-Table3[[#This Row],[Discount]]</f>
        <v>519.18015337213819</v>
      </c>
    </row>
    <row r="182" spans="1:10" x14ac:dyDescent="0.3">
      <c r="A182" t="s">
        <v>205</v>
      </c>
      <c r="B182" t="s">
        <v>51</v>
      </c>
      <c r="C182" s="1">
        <v>44763</v>
      </c>
      <c r="D182" t="s">
        <v>59</v>
      </c>
      <c r="E182" t="s">
        <v>67</v>
      </c>
      <c r="F182">
        <v>72</v>
      </c>
      <c r="G182" t="s">
        <v>0</v>
      </c>
      <c r="H182" s="2">
        <v>7</v>
      </c>
      <c r="I182" s="3">
        <v>0.89980934003543744</v>
      </c>
      <c r="J182" s="4">
        <f>(Table3[[#This Row],[Price of One Product]]*Table3[[#This Row],[No of Products in one Sale]])-Table3[[#This Row],[Discount]]</f>
        <v>503.10019065996454</v>
      </c>
    </row>
    <row r="183" spans="1:10" x14ac:dyDescent="0.3">
      <c r="A183" t="s">
        <v>206</v>
      </c>
      <c r="B183" t="s">
        <v>52</v>
      </c>
      <c r="C183" s="1">
        <v>44750</v>
      </c>
      <c r="D183" t="s">
        <v>60</v>
      </c>
      <c r="E183" t="s">
        <v>67</v>
      </c>
      <c r="F183">
        <v>65</v>
      </c>
      <c r="G183" t="s">
        <v>1</v>
      </c>
      <c r="H183" s="2">
        <v>5</v>
      </c>
      <c r="I183" s="3">
        <v>0.73522347452625669</v>
      </c>
      <c r="J183" s="4">
        <f>(Table3[[#This Row],[Price of One Product]]*Table3[[#This Row],[No of Products in one Sale]])-Table3[[#This Row],[Discount]]</f>
        <v>324.26477652547374</v>
      </c>
    </row>
    <row r="184" spans="1:10" x14ac:dyDescent="0.3">
      <c r="A184" t="s">
        <v>207</v>
      </c>
      <c r="B184" t="s">
        <v>53</v>
      </c>
      <c r="C184" s="1">
        <v>44751</v>
      </c>
      <c r="D184" t="s">
        <v>61</v>
      </c>
      <c r="E184" t="s">
        <v>67</v>
      </c>
      <c r="F184">
        <v>250</v>
      </c>
      <c r="G184" t="s">
        <v>2</v>
      </c>
      <c r="H184" s="2">
        <v>3</v>
      </c>
      <c r="I184" s="3">
        <v>0.36579213338930128</v>
      </c>
      <c r="J184" s="4">
        <f>(Table3[[#This Row],[Price of One Product]]*Table3[[#This Row],[No of Products in one Sale]])-Table3[[#This Row],[Discount]]</f>
        <v>749.63420786661072</v>
      </c>
    </row>
    <row r="185" spans="1:10" x14ac:dyDescent="0.3">
      <c r="A185" t="s">
        <v>208</v>
      </c>
      <c r="B185" t="s">
        <v>54</v>
      </c>
      <c r="C185" s="1">
        <v>44736</v>
      </c>
      <c r="D185" t="s">
        <v>62</v>
      </c>
      <c r="E185" t="s">
        <v>67</v>
      </c>
      <c r="F185">
        <v>130</v>
      </c>
      <c r="G185" t="s">
        <v>0</v>
      </c>
      <c r="H185" s="2">
        <v>2</v>
      </c>
      <c r="I185" s="3">
        <v>0.79313642440033238</v>
      </c>
      <c r="J185" s="4">
        <f>(Table3[[#This Row],[Price of One Product]]*Table3[[#This Row],[No of Products in one Sale]])-Table3[[#This Row],[Discount]]</f>
        <v>259.20686357559964</v>
      </c>
    </row>
    <row r="186" spans="1:10" x14ac:dyDescent="0.3">
      <c r="A186" t="s">
        <v>209</v>
      </c>
      <c r="B186" t="s">
        <v>51</v>
      </c>
      <c r="C186" s="1">
        <v>44737</v>
      </c>
      <c r="D186" t="s">
        <v>59</v>
      </c>
      <c r="E186" t="s">
        <v>66</v>
      </c>
      <c r="F186">
        <v>72</v>
      </c>
      <c r="G186" t="s">
        <v>0</v>
      </c>
      <c r="H186" s="2">
        <v>4</v>
      </c>
      <c r="I186" s="3">
        <v>8.0407664979564641E-2</v>
      </c>
      <c r="J186" s="4">
        <f>(Table3[[#This Row],[Price of One Product]]*Table3[[#This Row],[No of Products in one Sale]])-Table3[[#This Row],[Discount]]</f>
        <v>287.91959233502041</v>
      </c>
    </row>
    <row r="187" spans="1:10" x14ac:dyDescent="0.3">
      <c r="A187" t="s">
        <v>210</v>
      </c>
      <c r="B187" t="s">
        <v>52</v>
      </c>
      <c r="C187" s="1">
        <v>44744</v>
      </c>
      <c r="D187" t="s">
        <v>60</v>
      </c>
      <c r="E187" t="s">
        <v>67</v>
      </c>
      <c r="F187">
        <v>65</v>
      </c>
      <c r="G187" t="s">
        <v>1</v>
      </c>
      <c r="H187" s="2">
        <v>12</v>
      </c>
      <c r="I187" s="3">
        <v>0.38525936096781821</v>
      </c>
      <c r="J187" s="4">
        <f>(Table3[[#This Row],[Price of One Product]]*Table3[[#This Row],[No of Products in one Sale]])-Table3[[#This Row],[Discount]]</f>
        <v>779.61474063903222</v>
      </c>
    </row>
    <row r="188" spans="1:10" x14ac:dyDescent="0.3">
      <c r="A188" t="s">
        <v>211</v>
      </c>
      <c r="B188" t="s">
        <v>53</v>
      </c>
      <c r="C188" s="1">
        <v>44735</v>
      </c>
      <c r="D188" t="s">
        <v>61</v>
      </c>
      <c r="E188" t="s">
        <v>66</v>
      </c>
      <c r="F188">
        <v>250</v>
      </c>
      <c r="G188" t="s">
        <v>2</v>
      </c>
      <c r="H188" s="2">
        <v>1</v>
      </c>
      <c r="I188" s="3">
        <v>0.45507177071325888</v>
      </c>
      <c r="J188" s="4">
        <f>(Table3[[#This Row],[Price of One Product]]*Table3[[#This Row],[No of Products in one Sale]])-Table3[[#This Row],[Discount]]</f>
        <v>249.54492822928674</v>
      </c>
    </row>
    <row r="189" spans="1:10" x14ac:dyDescent="0.3">
      <c r="A189" t="s">
        <v>212</v>
      </c>
      <c r="B189" t="s">
        <v>54</v>
      </c>
      <c r="C189" s="1">
        <v>44751</v>
      </c>
      <c r="D189" t="s">
        <v>62</v>
      </c>
      <c r="E189" t="s">
        <v>67</v>
      </c>
      <c r="F189">
        <v>130</v>
      </c>
      <c r="G189" t="s">
        <v>0</v>
      </c>
      <c r="H189" s="2">
        <v>4</v>
      </c>
      <c r="I189" s="3">
        <v>0.93827031337312128</v>
      </c>
      <c r="J189" s="4">
        <f>(Table3[[#This Row],[Price of One Product]]*Table3[[#This Row],[No of Products in one Sale]])-Table3[[#This Row],[Discount]]</f>
        <v>519.0617296866269</v>
      </c>
    </row>
    <row r="190" spans="1:10" x14ac:dyDescent="0.3">
      <c r="A190" t="s">
        <v>213</v>
      </c>
      <c r="B190" t="s">
        <v>51</v>
      </c>
      <c r="C190" s="1">
        <v>44726</v>
      </c>
      <c r="D190" t="s">
        <v>59</v>
      </c>
      <c r="E190" t="s">
        <v>66</v>
      </c>
      <c r="F190">
        <v>72</v>
      </c>
      <c r="G190" t="s">
        <v>1</v>
      </c>
      <c r="H190" s="2">
        <v>7</v>
      </c>
      <c r="I190" s="3">
        <v>0.14716035331195043</v>
      </c>
      <c r="J190" s="4">
        <f>(Table3[[#This Row],[Price of One Product]]*Table3[[#This Row],[No of Products in one Sale]])-Table3[[#This Row],[Discount]]</f>
        <v>503.85283964668804</v>
      </c>
    </row>
    <row r="191" spans="1:10" x14ac:dyDescent="0.3">
      <c r="A191" t="s">
        <v>214</v>
      </c>
      <c r="B191" t="s">
        <v>52</v>
      </c>
      <c r="C191" s="1">
        <v>44749</v>
      </c>
      <c r="D191" t="s">
        <v>60</v>
      </c>
      <c r="E191" t="s">
        <v>67</v>
      </c>
      <c r="F191">
        <v>65</v>
      </c>
      <c r="G191" t="s">
        <v>2</v>
      </c>
      <c r="H191" s="2">
        <v>12</v>
      </c>
      <c r="I191" s="3">
        <v>0.10159867043013626</v>
      </c>
      <c r="J191" s="4">
        <f>(Table3[[#This Row],[Price of One Product]]*Table3[[#This Row],[No of Products in one Sale]])-Table3[[#This Row],[Discount]]</f>
        <v>779.89840132956988</v>
      </c>
    </row>
    <row r="192" spans="1:10" x14ac:dyDescent="0.3">
      <c r="A192" t="s">
        <v>215</v>
      </c>
      <c r="B192" t="s">
        <v>53</v>
      </c>
      <c r="C192" s="1">
        <v>44734</v>
      </c>
      <c r="D192" t="s">
        <v>61</v>
      </c>
      <c r="E192" t="s">
        <v>66</v>
      </c>
      <c r="F192">
        <v>250</v>
      </c>
      <c r="G192" t="s">
        <v>0</v>
      </c>
      <c r="H192" s="2">
        <v>2</v>
      </c>
      <c r="I192" s="3">
        <v>0.50060788399709522</v>
      </c>
      <c r="J192" s="4">
        <f>(Table3[[#This Row],[Price of One Product]]*Table3[[#This Row],[No of Products in one Sale]])-Table3[[#This Row],[Discount]]</f>
        <v>499.49939211600292</v>
      </c>
    </row>
    <row r="193" spans="1:10" x14ac:dyDescent="0.3">
      <c r="A193" t="s">
        <v>216</v>
      </c>
      <c r="B193" t="s">
        <v>54</v>
      </c>
      <c r="C193" s="1">
        <v>44726</v>
      </c>
      <c r="D193" t="s">
        <v>62</v>
      </c>
      <c r="E193" t="s">
        <v>67</v>
      </c>
      <c r="F193">
        <v>130</v>
      </c>
      <c r="G193" t="s">
        <v>1</v>
      </c>
      <c r="H193" s="2">
        <v>6</v>
      </c>
      <c r="I193" s="3">
        <v>0.70539643021834586</v>
      </c>
      <c r="J193" s="4">
        <f>(Table3[[#This Row],[Price of One Product]]*Table3[[#This Row],[No of Products in one Sale]])-Table3[[#This Row],[Discount]]</f>
        <v>779.29460356978166</v>
      </c>
    </row>
    <row r="194" spans="1:10" x14ac:dyDescent="0.3">
      <c r="A194" t="s">
        <v>217</v>
      </c>
      <c r="B194" t="s">
        <v>55</v>
      </c>
      <c r="C194" s="1">
        <v>44743</v>
      </c>
      <c r="D194" t="s">
        <v>63</v>
      </c>
      <c r="E194" t="s">
        <v>66</v>
      </c>
      <c r="F194">
        <v>60</v>
      </c>
      <c r="G194" t="s">
        <v>2</v>
      </c>
      <c r="H194" s="2">
        <v>12</v>
      </c>
      <c r="I194" s="3">
        <v>0.72481379032239401</v>
      </c>
      <c r="J194" s="4">
        <f>(Table3[[#This Row],[Price of One Product]]*Table3[[#This Row],[No of Products in one Sale]])-Table3[[#This Row],[Discount]]</f>
        <v>719.2751862096776</v>
      </c>
    </row>
    <row r="195" spans="1:10" x14ac:dyDescent="0.3">
      <c r="A195" t="s">
        <v>218</v>
      </c>
      <c r="B195" t="s">
        <v>51</v>
      </c>
      <c r="C195" s="1">
        <v>44742</v>
      </c>
      <c r="D195" t="s">
        <v>59</v>
      </c>
      <c r="E195" t="s">
        <v>67</v>
      </c>
      <c r="F195">
        <v>72</v>
      </c>
      <c r="G195" t="s">
        <v>0</v>
      </c>
      <c r="H195" s="2">
        <v>6</v>
      </c>
      <c r="I195" s="3">
        <v>0.21833121955544521</v>
      </c>
      <c r="J195" s="4">
        <f>(Table3[[#This Row],[Price of One Product]]*Table3[[#This Row],[No of Products in one Sale]])-Table3[[#This Row],[Discount]]</f>
        <v>431.78166878044453</v>
      </c>
    </row>
    <row r="196" spans="1:10" x14ac:dyDescent="0.3">
      <c r="A196" t="s">
        <v>219</v>
      </c>
      <c r="B196" t="s">
        <v>52</v>
      </c>
      <c r="C196" s="1">
        <v>44747</v>
      </c>
      <c r="D196" t="s">
        <v>60</v>
      </c>
      <c r="E196" t="s">
        <v>66</v>
      </c>
      <c r="F196">
        <v>65</v>
      </c>
      <c r="G196" t="s">
        <v>1</v>
      </c>
      <c r="H196" s="2">
        <v>8</v>
      </c>
      <c r="I196" s="3">
        <v>0.33253524453952932</v>
      </c>
      <c r="J196" s="4">
        <f>(Table3[[#This Row],[Price of One Product]]*Table3[[#This Row],[No of Products in one Sale]])-Table3[[#This Row],[Discount]]</f>
        <v>519.66746475546051</v>
      </c>
    </row>
    <row r="197" spans="1:10" x14ac:dyDescent="0.3">
      <c r="A197" t="s">
        <v>220</v>
      </c>
      <c r="B197" t="s">
        <v>53</v>
      </c>
      <c r="C197" s="1">
        <v>44764</v>
      </c>
      <c r="D197" t="s">
        <v>61</v>
      </c>
      <c r="E197" t="s">
        <v>67</v>
      </c>
      <c r="F197">
        <v>250</v>
      </c>
      <c r="G197" t="s">
        <v>2</v>
      </c>
      <c r="H197" s="2">
        <v>2</v>
      </c>
      <c r="I197" s="3">
        <v>0.39793552100289009</v>
      </c>
      <c r="J197" s="4">
        <f>(Table3[[#This Row],[Price of One Product]]*Table3[[#This Row],[No of Products in one Sale]])-Table3[[#This Row],[Discount]]</f>
        <v>499.60206447899714</v>
      </c>
    </row>
    <row r="198" spans="1:10" x14ac:dyDescent="0.3">
      <c r="A198" t="s">
        <v>221</v>
      </c>
      <c r="B198" t="s">
        <v>54</v>
      </c>
      <c r="C198" s="1">
        <v>44735</v>
      </c>
      <c r="D198" t="s">
        <v>62</v>
      </c>
      <c r="E198" t="s">
        <v>66</v>
      </c>
      <c r="F198">
        <v>130</v>
      </c>
      <c r="G198" t="s">
        <v>0</v>
      </c>
      <c r="H198" s="2">
        <v>4</v>
      </c>
      <c r="I198" s="3">
        <v>0.83519533088641318</v>
      </c>
      <c r="J198" s="4">
        <f>(Table3[[#This Row],[Price of One Product]]*Table3[[#This Row],[No of Products in one Sale]])-Table3[[#This Row],[Discount]]</f>
        <v>519.16480466911355</v>
      </c>
    </row>
    <row r="199" spans="1:10" x14ac:dyDescent="0.3">
      <c r="A199" t="s">
        <v>222</v>
      </c>
      <c r="B199" t="s">
        <v>51</v>
      </c>
      <c r="C199" s="1">
        <v>44737</v>
      </c>
      <c r="D199" t="s">
        <v>59</v>
      </c>
      <c r="E199" t="s">
        <v>67</v>
      </c>
      <c r="F199">
        <v>72</v>
      </c>
      <c r="G199" t="s">
        <v>1</v>
      </c>
      <c r="H199" s="2">
        <v>10</v>
      </c>
      <c r="I199" s="3">
        <v>8.7312208799101843E-3</v>
      </c>
      <c r="J199" s="4">
        <f>(Table3[[#This Row],[Price of One Product]]*Table3[[#This Row],[No of Products in one Sale]])-Table3[[#This Row],[Discount]]</f>
        <v>719.99126877912011</v>
      </c>
    </row>
    <row r="200" spans="1:10" x14ac:dyDescent="0.3">
      <c r="A200" t="s">
        <v>223</v>
      </c>
      <c r="B200" t="s">
        <v>52</v>
      </c>
      <c r="C200" s="1">
        <v>44749</v>
      </c>
      <c r="D200" t="s">
        <v>60</v>
      </c>
      <c r="E200" t="s">
        <v>66</v>
      </c>
      <c r="F200">
        <v>65</v>
      </c>
      <c r="G200" t="s">
        <v>2</v>
      </c>
      <c r="H200" s="2">
        <v>12</v>
      </c>
      <c r="I200" s="3">
        <v>0.95071636556912675</v>
      </c>
      <c r="J200" s="4">
        <f>(Table3[[#This Row],[Price of One Product]]*Table3[[#This Row],[No of Products in one Sale]])-Table3[[#This Row],[Discount]]</f>
        <v>779.04928363443082</v>
      </c>
    </row>
    <row r="201" spans="1:10" x14ac:dyDescent="0.3">
      <c r="A201" t="s">
        <v>224</v>
      </c>
      <c r="B201" t="s">
        <v>53</v>
      </c>
      <c r="C201" s="1">
        <v>44729</v>
      </c>
      <c r="D201" t="s">
        <v>61</v>
      </c>
      <c r="E201" t="s">
        <v>67</v>
      </c>
      <c r="F201">
        <v>250</v>
      </c>
      <c r="G201" t="s">
        <v>0</v>
      </c>
      <c r="H201" s="2">
        <v>4</v>
      </c>
      <c r="I201" s="3">
        <v>6.5110770871939172E-2</v>
      </c>
      <c r="J201" s="4">
        <f>(Table3[[#This Row],[Price of One Product]]*Table3[[#This Row],[No of Products in one Sale]])-Table3[[#This Row],[Discount]]</f>
        <v>999.93488922912809</v>
      </c>
    </row>
    <row r="202" spans="1:10" x14ac:dyDescent="0.3">
      <c r="A202" t="s">
        <v>225</v>
      </c>
      <c r="B202" t="s">
        <v>54</v>
      </c>
      <c r="C202" s="1">
        <v>44738</v>
      </c>
      <c r="D202" t="s">
        <v>62</v>
      </c>
      <c r="E202" t="s">
        <v>66</v>
      </c>
      <c r="F202">
        <v>130</v>
      </c>
      <c r="G202" t="s">
        <v>1</v>
      </c>
      <c r="H202" s="2">
        <v>6</v>
      </c>
      <c r="I202" s="3">
        <v>0.43772024513265795</v>
      </c>
      <c r="J202" s="4">
        <f>(Table3[[#This Row],[Price of One Product]]*Table3[[#This Row],[No of Products in one Sale]])-Table3[[#This Row],[Discount]]</f>
        <v>779.56227975486729</v>
      </c>
    </row>
    <row r="203" spans="1:10" x14ac:dyDescent="0.3">
      <c r="A203" t="s">
        <v>226</v>
      </c>
      <c r="B203" t="s">
        <v>55</v>
      </c>
      <c r="C203" s="1">
        <v>44740</v>
      </c>
      <c r="D203" t="s">
        <v>63</v>
      </c>
      <c r="E203" t="s">
        <v>66</v>
      </c>
      <c r="F203">
        <v>60</v>
      </c>
      <c r="G203" t="s">
        <v>2</v>
      </c>
      <c r="H203" s="2">
        <v>7</v>
      </c>
      <c r="I203" s="3">
        <v>0.41853663840169475</v>
      </c>
      <c r="J203" s="4">
        <f>(Table3[[#This Row],[Price of One Product]]*Table3[[#This Row],[No of Products in one Sale]])-Table3[[#This Row],[Discount]]</f>
        <v>419.58146336159831</v>
      </c>
    </row>
    <row r="204" spans="1:10" x14ac:dyDescent="0.3">
      <c r="A204" t="s">
        <v>227</v>
      </c>
      <c r="B204" t="s">
        <v>56</v>
      </c>
      <c r="C204" s="1">
        <v>44755</v>
      </c>
      <c r="D204" t="s">
        <v>64</v>
      </c>
      <c r="E204" t="s">
        <v>67</v>
      </c>
      <c r="F204">
        <v>95</v>
      </c>
      <c r="G204" t="s">
        <v>0</v>
      </c>
      <c r="H204" s="2">
        <v>7</v>
      </c>
      <c r="I204" s="3">
        <v>0.38824165845812764</v>
      </c>
      <c r="J204" s="4">
        <f>(Table3[[#This Row],[Price of One Product]]*Table3[[#This Row],[No of Products in one Sale]])-Table3[[#This Row],[Discount]]</f>
        <v>664.61175834154187</v>
      </c>
    </row>
    <row r="205" spans="1:10" x14ac:dyDescent="0.3">
      <c r="A205" t="s">
        <v>228</v>
      </c>
      <c r="B205" t="s">
        <v>51</v>
      </c>
      <c r="C205" s="1">
        <v>44755</v>
      </c>
      <c r="D205" t="s">
        <v>59</v>
      </c>
      <c r="E205" t="s">
        <v>67</v>
      </c>
      <c r="F205">
        <v>72</v>
      </c>
      <c r="G205" t="s">
        <v>1</v>
      </c>
      <c r="H205" s="2">
        <v>3</v>
      </c>
      <c r="I205" s="3">
        <v>0.75434060698733896</v>
      </c>
      <c r="J205" s="4">
        <f>(Table3[[#This Row],[Price of One Product]]*Table3[[#This Row],[No of Products in one Sale]])-Table3[[#This Row],[Discount]]</f>
        <v>215.24565939301266</v>
      </c>
    </row>
    <row r="206" spans="1:10" x14ac:dyDescent="0.3">
      <c r="A206" t="s">
        <v>229</v>
      </c>
      <c r="B206" t="s">
        <v>52</v>
      </c>
      <c r="C206" s="1">
        <v>44764</v>
      </c>
      <c r="D206" t="s">
        <v>60</v>
      </c>
      <c r="E206" t="s">
        <v>67</v>
      </c>
      <c r="F206">
        <v>65</v>
      </c>
      <c r="G206" t="s">
        <v>2</v>
      </c>
      <c r="H206" s="2">
        <v>12</v>
      </c>
      <c r="I206" s="3">
        <v>0.61587381700020483</v>
      </c>
      <c r="J206" s="4">
        <f>(Table3[[#This Row],[Price of One Product]]*Table3[[#This Row],[No of Products in one Sale]])-Table3[[#This Row],[Discount]]</f>
        <v>779.38412618299981</v>
      </c>
    </row>
    <row r="207" spans="1:10" x14ac:dyDescent="0.3">
      <c r="A207" t="s">
        <v>230</v>
      </c>
      <c r="B207" t="s">
        <v>53</v>
      </c>
      <c r="C207" s="1">
        <v>44735</v>
      </c>
      <c r="D207" t="s">
        <v>61</v>
      </c>
      <c r="E207" t="s">
        <v>66</v>
      </c>
      <c r="F207">
        <v>250</v>
      </c>
      <c r="G207" t="s">
        <v>0</v>
      </c>
      <c r="H207" s="2">
        <v>2</v>
      </c>
      <c r="I207" s="3">
        <v>0.80006888756762451</v>
      </c>
      <c r="J207" s="4">
        <f>(Table3[[#This Row],[Price of One Product]]*Table3[[#This Row],[No of Products in one Sale]])-Table3[[#This Row],[Discount]]</f>
        <v>499.19993111243235</v>
      </c>
    </row>
    <row r="208" spans="1:10" x14ac:dyDescent="0.3">
      <c r="A208" t="s">
        <v>231</v>
      </c>
      <c r="B208" t="s">
        <v>54</v>
      </c>
      <c r="C208" s="1">
        <v>44734</v>
      </c>
      <c r="D208" t="s">
        <v>62</v>
      </c>
      <c r="E208" t="s">
        <v>66</v>
      </c>
      <c r="F208">
        <v>130</v>
      </c>
      <c r="G208" t="s">
        <v>1</v>
      </c>
      <c r="H208" s="2">
        <v>5</v>
      </c>
      <c r="I208" s="3">
        <v>0.68228949683615203</v>
      </c>
      <c r="J208" s="4">
        <f>(Table3[[#This Row],[Price of One Product]]*Table3[[#This Row],[No of Products in one Sale]])-Table3[[#This Row],[Discount]]</f>
        <v>649.31771050316388</v>
      </c>
    </row>
    <row r="209" spans="1:10" x14ac:dyDescent="0.3">
      <c r="A209" t="s">
        <v>232</v>
      </c>
      <c r="B209" t="s">
        <v>51</v>
      </c>
      <c r="C209" s="1">
        <v>44728</v>
      </c>
      <c r="D209" t="s">
        <v>59</v>
      </c>
      <c r="E209" t="s">
        <v>66</v>
      </c>
      <c r="F209">
        <v>72</v>
      </c>
      <c r="G209" t="s">
        <v>2</v>
      </c>
      <c r="H209" s="2">
        <v>10</v>
      </c>
      <c r="I209" s="3">
        <v>1.6479509006877335E-2</v>
      </c>
      <c r="J209" s="4">
        <f>(Table3[[#This Row],[Price of One Product]]*Table3[[#This Row],[No of Products in one Sale]])-Table3[[#This Row],[Discount]]</f>
        <v>719.9835204909931</v>
      </c>
    </row>
    <row r="210" spans="1:10" x14ac:dyDescent="0.3">
      <c r="A210" t="s">
        <v>233</v>
      </c>
      <c r="B210" t="s">
        <v>52</v>
      </c>
      <c r="C210" s="1">
        <v>44739</v>
      </c>
      <c r="D210" t="s">
        <v>60</v>
      </c>
      <c r="E210" t="s">
        <v>66</v>
      </c>
      <c r="F210">
        <v>65</v>
      </c>
      <c r="G210" t="s">
        <v>0</v>
      </c>
      <c r="H210" s="2">
        <v>10</v>
      </c>
      <c r="I210" s="3">
        <v>0.23078123893127422</v>
      </c>
      <c r="J210" s="4">
        <f>(Table3[[#This Row],[Price of One Product]]*Table3[[#This Row],[No of Products in one Sale]])-Table3[[#This Row],[Discount]]</f>
        <v>649.76921876106871</v>
      </c>
    </row>
    <row r="211" spans="1:10" x14ac:dyDescent="0.3">
      <c r="A211" t="s">
        <v>234</v>
      </c>
      <c r="B211" t="s">
        <v>53</v>
      </c>
      <c r="C211" s="1">
        <v>44765</v>
      </c>
      <c r="D211" t="s">
        <v>61</v>
      </c>
      <c r="E211" t="s">
        <v>66</v>
      </c>
      <c r="F211">
        <v>250</v>
      </c>
      <c r="G211" t="s">
        <v>1</v>
      </c>
      <c r="H211" s="2">
        <v>3</v>
      </c>
      <c r="I211" s="3">
        <v>2.2225272121484729E-2</v>
      </c>
      <c r="J211" s="4">
        <f>(Table3[[#This Row],[Price of One Product]]*Table3[[#This Row],[No of Products in one Sale]])-Table3[[#This Row],[Discount]]</f>
        <v>749.97777472787857</v>
      </c>
    </row>
    <row r="212" spans="1:10" x14ac:dyDescent="0.3">
      <c r="A212" t="s">
        <v>235</v>
      </c>
      <c r="B212" t="s">
        <v>54</v>
      </c>
      <c r="C212" s="1">
        <v>44740</v>
      </c>
      <c r="D212" t="s">
        <v>62</v>
      </c>
      <c r="E212" t="s">
        <v>66</v>
      </c>
      <c r="F212">
        <v>130</v>
      </c>
      <c r="G212" t="s">
        <v>2</v>
      </c>
      <c r="H212" s="2">
        <v>3</v>
      </c>
      <c r="I212" s="3">
        <v>0.72206439626516772</v>
      </c>
      <c r="J212" s="4">
        <f>(Table3[[#This Row],[Price of One Product]]*Table3[[#This Row],[No of Products in one Sale]])-Table3[[#This Row],[Discount]]</f>
        <v>389.27793560373482</v>
      </c>
    </row>
    <row r="213" spans="1:10" x14ac:dyDescent="0.3">
      <c r="A213" t="s">
        <v>236</v>
      </c>
      <c r="B213" t="s">
        <v>55</v>
      </c>
      <c r="C213" s="1">
        <v>44734</v>
      </c>
      <c r="D213" t="s">
        <v>63</v>
      </c>
      <c r="E213" t="s">
        <v>66</v>
      </c>
      <c r="F213">
        <v>60</v>
      </c>
      <c r="G213" t="s">
        <v>0</v>
      </c>
      <c r="H213" s="2">
        <v>7</v>
      </c>
      <c r="I213" s="3">
        <v>0.66067744665264683</v>
      </c>
      <c r="J213" s="4">
        <f>(Table3[[#This Row],[Price of One Product]]*Table3[[#This Row],[No of Products in one Sale]])-Table3[[#This Row],[Discount]]</f>
        <v>419.33932255334736</v>
      </c>
    </row>
    <row r="214" spans="1:10" x14ac:dyDescent="0.3">
      <c r="A214" t="s">
        <v>237</v>
      </c>
      <c r="B214" t="s">
        <v>51</v>
      </c>
      <c r="C214" s="1">
        <v>44727</v>
      </c>
      <c r="D214" t="s">
        <v>59</v>
      </c>
      <c r="E214" t="s">
        <v>66</v>
      </c>
      <c r="F214">
        <v>72</v>
      </c>
      <c r="G214" t="s">
        <v>1</v>
      </c>
      <c r="H214" s="2">
        <v>6</v>
      </c>
      <c r="I214" s="3">
        <v>0.14048396352986114</v>
      </c>
      <c r="J214" s="4">
        <f>(Table3[[#This Row],[Price of One Product]]*Table3[[#This Row],[No of Products in one Sale]])-Table3[[#This Row],[Discount]]</f>
        <v>431.85951603647015</v>
      </c>
    </row>
    <row r="215" spans="1:10" x14ac:dyDescent="0.3">
      <c r="A215" t="s">
        <v>238</v>
      </c>
      <c r="B215" t="s">
        <v>52</v>
      </c>
      <c r="C215" s="1">
        <v>44737</v>
      </c>
      <c r="D215" t="s">
        <v>60</v>
      </c>
      <c r="E215" t="s">
        <v>66</v>
      </c>
      <c r="F215">
        <v>65</v>
      </c>
      <c r="G215" t="s">
        <v>2</v>
      </c>
      <c r="H215" s="2">
        <v>8</v>
      </c>
      <c r="I215" s="3">
        <v>0.37872981249566817</v>
      </c>
      <c r="J215" s="4">
        <f>(Table3[[#This Row],[Price of One Product]]*Table3[[#This Row],[No of Products in one Sale]])-Table3[[#This Row],[Discount]]</f>
        <v>519.62127018750436</v>
      </c>
    </row>
    <row r="216" spans="1:10" x14ac:dyDescent="0.3">
      <c r="A216" t="s">
        <v>239</v>
      </c>
      <c r="B216" t="s">
        <v>53</v>
      </c>
      <c r="C216" s="1">
        <v>44747</v>
      </c>
      <c r="D216" t="s">
        <v>61</v>
      </c>
      <c r="E216" t="s">
        <v>67</v>
      </c>
      <c r="F216">
        <v>250</v>
      </c>
      <c r="G216" t="s">
        <v>0</v>
      </c>
      <c r="H216" s="2">
        <v>2</v>
      </c>
      <c r="I216" s="3">
        <v>0.71515589694127546</v>
      </c>
      <c r="J216" s="4">
        <f>(Table3[[#This Row],[Price of One Product]]*Table3[[#This Row],[No of Products in one Sale]])-Table3[[#This Row],[Discount]]</f>
        <v>499.28484410305873</v>
      </c>
    </row>
    <row r="217" spans="1:10" x14ac:dyDescent="0.3">
      <c r="A217" t="s">
        <v>240</v>
      </c>
      <c r="B217" t="s">
        <v>54</v>
      </c>
      <c r="C217" s="1">
        <v>44754</v>
      </c>
      <c r="D217" t="s">
        <v>62</v>
      </c>
      <c r="E217" t="s">
        <v>66</v>
      </c>
      <c r="F217">
        <v>130</v>
      </c>
      <c r="G217" t="s">
        <v>1</v>
      </c>
      <c r="H217" s="2">
        <v>6</v>
      </c>
      <c r="I217" s="3">
        <v>0.21412519358799298</v>
      </c>
      <c r="J217" s="4">
        <f>(Table3[[#This Row],[Price of One Product]]*Table3[[#This Row],[No of Products in one Sale]])-Table3[[#This Row],[Discount]]</f>
        <v>779.78587480641204</v>
      </c>
    </row>
    <row r="218" spans="1:10" x14ac:dyDescent="0.3">
      <c r="A218" t="s">
        <v>241</v>
      </c>
      <c r="B218" t="s">
        <v>51</v>
      </c>
      <c r="C218" s="1">
        <v>44760</v>
      </c>
      <c r="D218" t="s">
        <v>59</v>
      </c>
      <c r="E218" t="s">
        <v>66</v>
      </c>
      <c r="F218">
        <v>72</v>
      </c>
      <c r="G218" t="s">
        <v>2</v>
      </c>
      <c r="H218" s="2">
        <v>6</v>
      </c>
      <c r="I218" s="3">
        <v>0.16455091596073168</v>
      </c>
      <c r="J218" s="4">
        <f>(Table3[[#This Row],[Price of One Product]]*Table3[[#This Row],[No of Products in one Sale]])-Table3[[#This Row],[Discount]]</f>
        <v>431.83544908403928</v>
      </c>
    </row>
    <row r="219" spans="1:10" x14ac:dyDescent="0.3">
      <c r="A219" t="s">
        <v>242</v>
      </c>
      <c r="B219" t="s">
        <v>52</v>
      </c>
      <c r="C219" s="1">
        <v>44759</v>
      </c>
      <c r="D219" t="s">
        <v>60</v>
      </c>
      <c r="E219" t="s">
        <v>66</v>
      </c>
      <c r="F219">
        <v>65</v>
      </c>
      <c r="G219" t="s">
        <v>0</v>
      </c>
      <c r="H219" s="2">
        <v>4</v>
      </c>
      <c r="I219" s="3">
        <v>0.25666907491668522</v>
      </c>
      <c r="J219" s="4">
        <f>(Table3[[#This Row],[Price of One Product]]*Table3[[#This Row],[No of Products in one Sale]])-Table3[[#This Row],[Discount]]</f>
        <v>259.74333092508334</v>
      </c>
    </row>
    <row r="220" spans="1:10" x14ac:dyDescent="0.3">
      <c r="A220" t="s">
        <v>243</v>
      </c>
      <c r="B220" t="s">
        <v>53</v>
      </c>
      <c r="C220" s="1">
        <v>44735</v>
      </c>
      <c r="D220" t="s">
        <v>61</v>
      </c>
      <c r="E220" t="s">
        <v>66</v>
      </c>
      <c r="F220">
        <v>250</v>
      </c>
      <c r="G220" t="s">
        <v>1</v>
      </c>
      <c r="H220" s="2">
        <v>3</v>
      </c>
      <c r="I220" s="3">
        <v>0.90160231788426648</v>
      </c>
      <c r="J220" s="4">
        <f>(Table3[[#This Row],[Price of One Product]]*Table3[[#This Row],[No of Products in one Sale]])-Table3[[#This Row],[Discount]]</f>
        <v>749.09839768211577</v>
      </c>
    </row>
    <row r="221" spans="1:10" x14ac:dyDescent="0.3">
      <c r="A221" t="s">
        <v>244</v>
      </c>
      <c r="B221" t="s">
        <v>54</v>
      </c>
      <c r="C221" s="1">
        <v>44734</v>
      </c>
      <c r="D221" t="s">
        <v>62</v>
      </c>
      <c r="E221" t="s">
        <v>66</v>
      </c>
      <c r="F221">
        <v>130</v>
      </c>
      <c r="G221" t="s">
        <v>2</v>
      </c>
      <c r="H221" s="2">
        <v>2</v>
      </c>
      <c r="I221" s="3">
        <v>0.320164833885899</v>
      </c>
      <c r="J221" s="4">
        <f>(Table3[[#This Row],[Price of One Product]]*Table3[[#This Row],[No of Products in one Sale]])-Table3[[#This Row],[Discount]]</f>
        <v>259.67983516611412</v>
      </c>
    </row>
    <row r="222" spans="1:10" x14ac:dyDescent="0.3">
      <c r="A222" t="s">
        <v>245</v>
      </c>
      <c r="B222" t="s">
        <v>55</v>
      </c>
      <c r="C222" s="1">
        <v>44753</v>
      </c>
      <c r="D222" t="s">
        <v>63</v>
      </c>
      <c r="E222" t="s">
        <v>67</v>
      </c>
      <c r="F222">
        <v>60</v>
      </c>
      <c r="G222" t="s">
        <v>0</v>
      </c>
      <c r="H222" s="2">
        <v>9</v>
      </c>
      <c r="I222" s="3">
        <v>0.13498450487731639</v>
      </c>
      <c r="J222" s="4">
        <f>(Table3[[#This Row],[Price of One Product]]*Table3[[#This Row],[No of Products in one Sale]])-Table3[[#This Row],[Discount]]</f>
        <v>539.86501549512263</v>
      </c>
    </row>
    <row r="223" spans="1:10" x14ac:dyDescent="0.3">
      <c r="A223" t="s">
        <v>246</v>
      </c>
      <c r="B223" t="s">
        <v>56</v>
      </c>
      <c r="C223" s="1">
        <v>44739</v>
      </c>
      <c r="D223" t="s">
        <v>64</v>
      </c>
      <c r="E223" t="s">
        <v>66</v>
      </c>
      <c r="F223">
        <v>95</v>
      </c>
      <c r="G223" t="s">
        <v>1</v>
      </c>
      <c r="H223" s="2">
        <v>5</v>
      </c>
      <c r="I223" s="3">
        <v>0.91789593738279973</v>
      </c>
      <c r="J223" s="4">
        <f>(Table3[[#This Row],[Price of One Product]]*Table3[[#This Row],[No of Products in one Sale]])-Table3[[#This Row],[Discount]]</f>
        <v>474.08210406261719</v>
      </c>
    </row>
    <row r="224" spans="1:10" x14ac:dyDescent="0.3">
      <c r="A224" t="s">
        <v>247</v>
      </c>
      <c r="B224" t="s">
        <v>51</v>
      </c>
      <c r="C224" s="1">
        <v>44740</v>
      </c>
      <c r="D224" t="s">
        <v>59</v>
      </c>
      <c r="E224" t="s">
        <v>66</v>
      </c>
      <c r="F224">
        <v>72</v>
      </c>
      <c r="G224" t="s">
        <v>2</v>
      </c>
      <c r="H224" s="2">
        <v>3</v>
      </c>
      <c r="I224" s="3">
        <v>0.98021726342122206</v>
      </c>
      <c r="J224" s="4">
        <f>(Table3[[#This Row],[Price of One Product]]*Table3[[#This Row],[No of Products in one Sale]])-Table3[[#This Row],[Discount]]</f>
        <v>215.01978273657878</v>
      </c>
    </row>
    <row r="225" spans="1:10" x14ac:dyDescent="0.3">
      <c r="A225" t="s">
        <v>248</v>
      </c>
      <c r="B225" t="s">
        <v>52</v>
      </c>
      <c r="C225" s="1">
        <v>44748</v>
      </c>
      <c r="D225" t="s">
        <v>60</v>
      </c>
      <c r="E225" t="s">
        <v>66</v>
      </c>
      <c r="F225">
        <v>65</v>
      </c>
      <c r="G225" t="s">
        <v>0</v>
      </c>
      <c r="H225" s="2">
        <v>7</v>
      </c>
      <c r="I225" s="3">
        <v>6.7354248366482961E-2</v>
      </c>
      <c r="J225" s="4">
        <f>(Table3[[#This Row],[Price of One Product]]*Table3[[#This Row],[No of Products in one Sale]])-Table3[[#This Row],[Discount]]</f>
        <v>454.93264575163352</v>
      </c>
    </row>
    <row r="226" spans="1:10" x14ac:dyDescent="0.3">
      <c r="A226" t="s">
        <v>249</v>
      </c>
      <c r="B226" t="s">
        <v>53</v>
      </c>
      <c r="C226" s="1">
        <v>44731</v>
      </c>
      <c r="D226" t="s">
        <v>61</v>
      </c>
      <c r="E226" t="s">
        <v>67</v>
      </c>
      <c r="F226">
        <v>250</v>
      </c>
      <c r="G226" t="s">
        <v>1</v>
      </c>
      <c r="H226" s="2">
        <v>2</v>
      </c>
      <c r="I226" s="3">
        <v>0.49907272133883429</v>
      </c>
      <c r="J226" s="4">
        <f>(Table3[[#This Row],[Price of One Product]]*Table3[[#This Row],[No of Products in one Sale]])-Table3[[#This Row],[Discount]]</f>
        <v>499.50092727866115</v>
      </c>
    </row>
    <row r="227" spans="1:10" x14ac:dyDescent="0.3">
      <c r="A227" t="s">
        <v>250</v>
      </c>
      <c r="B227" t="s">
        <v>54</v>
      </c>
      <c r="C227" s="1">
        <v>44763</v>
      </c>
      <c r="D227" t="s">
        <v>62</v>
      </c>
      <c r="E227" t="s">
        <v>67</v>
      </c>
      <c r="F227">
        <v>130</v>
      </c>
      <c r="G227" t="s">
        <v>2</v>
      </c>
      <c r="H227" s="2">
        <v>5</v>
      </c>
      <c r="I227" s="3">
        <v>0.61466468459589796</v>
      </c>
      <c r="J227" s="4">
        <f>(Table3[[#This Row],[Price of One Product]]*Table3[[#This Row],[No of Products in one Sale]])-Table3[[#This Row],[Discount]]</f>
        <v>649.38533531540406</v>
      </c>
    </row>
    <row r="228" spans="1:10" x14ac:dyDescent="0.3">
      <c r="A228" t="s">
        <v>251</v>
      </c>
      <c r="B228" t="s">
        <v>51</v>
      </c>
      <c r="C228" s="1">
        <v>44733</v>
      </c>
      <c r="D228" t="s">
        <v>59</v>
      </c>
      <c r="E228" t="s">
        <v>67</v>
      </c>
      <c r="F228">
        <v>72</v>
      </c>
      <c r="G228" t="s">
        <v>0</v>
      </c>
      <c r="H228" s="2">
        <v>7</v>
      </c>
      <c r="I228" s="3">
        <v>0.94639798804768638</v>
      </c>
      <c r="J228" s="4">
        <f>(Table3[[#This Row],[Price of One Product]]*Table3[[#This Row],[No of Products in one Sale]])-Table3[[#This Row],[Discount]]</f>
        <v>503.05360201195231</v>
      </c>
    </row>
    <row r="229" spans="1:10" x14ac:dyDescent="0.3">
      <c r="A229" t="s">
        <v>252</v>
      </c>
      <c r="B229" t="s">
        <v>52</v>
      </c>
      <c r="C229" s="1">
        <v>44746</v>
      </c>
      <c r="D229" t="s">
        <v>60</v>
      </c>
      <c r="E229" t="s">
        <v>67</v>
      </c>
      <c r="F229">
        <v>65</v>
      </c>
      <c r="G229" t="s">
        <v>1</v>
      </c>
      <c r="H229" s="2">
        <v>10</v>
      </c>
      <c r="I229" s="3">
        <v>0.95168663838417633</v>
      </c>
      <c r="J229" s="4">
        <f>(Table3[[#This Row],[Price of One Product]]*Table3[[#This Row],[No of Products in one Sale]])-Table3[[#This Row],[Discount]]</f>
        <v>649.04831336161578</v>
      </c>
    </row>
    <row r="230" spans="1:10" x14ac:dyDescent="0.3">
      <c r="A230" t="s">
        <v>253</v>
      </c>
      <c r="B230" t="s">
        <v>53</v>
      </c>
      <c r="C230" s="1">
        <v>44755</v>
      </c>
      <c r="D230" t="s">
        <v>61</v>
      </c>
      <c r="E230" t="s">
        <v>67</v>
      </c>
      <c r="F230">
        <v>250</v>
      </c>
      <c r="G230" t="s">
        <v>2</v>
      </c>
      <c r="H230" s="2">
        <v>2</v>
      </c>
      <c r="I230" s="3">
        <v>0.55958868077394219</v>
      </c>
      <c r="J230" s="4">
        <f>(Table3[[#This Row],[Price of One Product]]*Table3[[#This Row],[No of Products in one Sale]])-Table3[[#This Row],[Discount]]</f>
        <v>499.44041131922603</v>
      </c>
    </row>
    <row r="231" spans="1:10" x14ac:dyDescent="0.3">
      <c r="A231" t="s">
        <v>254</v>
      </c>
      <c r="B231" t="s">
        <v>54</v>
      </c>
      <c r="C231" s="1">
        <v>44755</v>
      </c>
      <c r="D231" t="s">
        <v>62</v>
      </c>
      <c r="E231" t="s">
        <v>67</v>
      </c>
      <c r="F231">
        <v>130</v>
      </c>
      <c r="G231" t="s">
        <v>0</v>
      </c>
      <c r="H231" s="2">
        <v>2</v>
      </c>
      <c r="I231" s="3">
        <v>0.81003936677165544</v>
      </c>
      <c r="J231" s="4">
        <f>(Table3[[#This Row],[Price of One Product]]*Table3[[#This Row],[No of Products in one Sale]])-Table3[[#This Row],[Discount]]</f>
        <v>259.18996063322834</v>
      </c>
    </row>
    <row r="232" spans="1:10" x14ac:dyDescent="0.3">
      <c r="A232" t="s">
        <v>255</v>
      </c>
      <c r="B232" t="s">
        <v>51</v>
      </c>
      <c r="C232" s="1">
        <v>44727</v>
      </c>
      <c r="D232" t="s">
        <v>59</v>
      </c>
      <c r="E232" t="s">
        <v>67</v>
      </c>
      <c r="F232">
        <v>72</v>
      </c>
      <c r="G232" t="s">
        <v>0</v>
      </c>
      <c r="H232" s="2">
        <v>12</v>
      </c>
      <c r="I232" s="3">
        <v>0.35450072343254235</v>
      </c>
      <c r="J232" s="4">
        <f>(Table3[[#This Row],[Price of One Product]]*Table3[[#This Row],[No of Products in one Sale]])-Table3[[#This Row],[Discount]]</f>
        <v>863.64549927656742</v>
      </c>
    </row>
    <row r="233" spans="1:10" x14ac:dyDescent="0.3">
      <c r="A233" t="s">
        <v>256</v>
      </c>
      <c r="B233" t="s">
        <v>52</v>
      </c>
      <c r="C233" s="1">
        <v>44746</v>
      </c>
      <c r="D233" t="s">
        <v>60</v>
      </c>
      <c r="E233" t="s">
        <v>66</v>
      </c>
      <c r="F233">
        <v>65</v>
      </c>
      <c r="G233" t="s">
        <v>1</v>
      </c>
      <c r="H233" s="2">
        <v>11</v>
      </c>
      <c r="I233" s="3">
        <v>0.34895469608332785</v>
      </c>
      <c r="J233" s="4">
        <f>(Table3[[#This Row],[Price of One Product]]*Table3[[#This Row],[No of Products in one Sale]])-Table3[[#This Row],[Discount]]</f>
        <v>714.6510453039167</v>
      </c>
    </row>
    <row r="234" spans="1:10" x14ac:dyDescent="0.3">
      <c r="A234" t="s">
        <v>257</v>
      </c>
      <c r="B234" t="s">
        <v>53</v>
      </c>
      <c r="C234" s="1">
        <v>44740</v>
      </c>
      <c r="D234" t="s">
        <v>61</v>
      </c>
      <c r="E234" t="s">
        <v>66</v>
      </c>
      <c r="F234">
        <v>250</v>
      </c>
      <c r="G234" t="s">
        <v>2</v>
      </c>
      <c r="H234" s="2">
        <v>2</v>
      </c>
      <c r="I234" s="3">
        <v>0.52279578451533193</v>
      </c>
      <c r="J234" s="4">
        <f>(Table3[[#This Row],[Price of One Product]]*Table3[[#This Row],[No of Products in one Sale]])-Table3[[#This Row],[Discount]]</f>
        <v>499.47720421548468</v>
      </c>
    </row>
    <row r="235" spans="1:10" x14ac:dyDescent="0.3">
      <c r="A235" t="s">
        <v>258</v>
      </c>
      <c r="B235" t="s">
        <v>54</v>
      </c>
      <c r="C235" s="1">
        <v>44743</v>
      </c>
      <c r="D235" t="s">
        <v>62</v>
      </c>
      <c r="E235" t="s">
        <v>66</v>
      </c>
      <c r="F235">
        <v>130</v>
      </c>
      <c r="G235" t="s">
        <v>0</v>
      </c>
      <c r="H235" s="2">
        <v>3</v>
      </c>
      <c r="I235" s="3">
        <v>0.69617887937852907</v>
      </c>
      <c r="J235" s="4">
        <f>(Table3[[#This Row],[Price of One Product]]*Table3[[#This Row],[No of Products in one Sale]])-Table3[[#This Row],[Discount]]</f>
        <v>389.30382112062148</v>
      </c>
    </row>
    <row r="236" spans="1:10" x14ac:dyDescent="0.3">
      <c r="A236" t="s">
        <v>259</v>
      </c>
      <c r="B236" t="s">
        <v>51</v>
      </c>
      <c r="C236" s="1">
        <v>44737</v>
      </c>
      <c r="D236" t="s">
        <v>59</v>
      </c>
      <c r="E236" t="s">
        <v>67</v>
      </c>
      <c r="F236">
        <v>72</v>
      </c>
      <c r="G236" t="s">
        <v>1</v>
      </c>
      <c r="H236" s="2">
        <v>6</v>
      </c>
      <c r="I236" s="3">
        <v>0.55638354082081654</v>
      </c>
      <c r="J236" s="4">
        <f>(Table3[[#This Row],[Price of One Product]]*Table3[[#This Row],[No of Products in one Sale]])-Table3[[#This Row],[Discount]]</f>
        <v>431.44361645917917</v>
      </c>
    </row>
    <row r="237" spans="1:10" x14ac:dyDescent="0.3">
      <c r="A237" t="s">
        <v>260</v>
      </c>
      <c r="B237" t="s">
        <v>52</v>
      </c>
      <c r="C237" s="1">
        <v>44757</v>
      </c>
      <c r="D237" t="s">
        <v>60</v>
      </c>
      <c r="E237" t="s">
        <v>67</v>
      </c>
      <c r="F237">
        <v>65</v>
      </c>
      <c r="G237" t="s">
        <v>2</v>
      </c>
      <c r="H237" s="2">
        <v>8</v>
      </c>
      <c r="I237" s="3">
        <v>7.8132692098414003E-2</v>
      </c>
      <c r="J237" s="4">
        <f>(Table3[[#This Row],[Price of One Product]]*Table3[[#This Row],[No of Products in one Sale]])-Table3[[#This Row],[Discount]]</f>
        <v>519.92186730790161</v>
      </c>
    </row>
    <row r="238" spans="1:10" x14ac:dyDescent="0.3">
      <c r="A238" t="s">
        <v>261</v>
      </c>
      <c r="B238" t="s">
        <v>53</v>
      </c>
      <c r="C238" s="1">
        <v>44745</v>
      </c>
      <c r="D238" t="s">
        <v>61</v>
      </c>
      <c r="E238" t="s">
        <v>67</v>
      </c>
      <c r="F238">
        <v>250</v>
      </c>
      <c r="G238" t="s">
        <v>0</v>
      </c>
      <c r="H238" s="2">
        <v>1</v>
      </c>
      <c r="I238" s="3">
        <v>0.37783112687678633</v>
      </c>
      <c r="J238" s="4">
        <f>(Table3[[#This Row],[Price of One Product]]*Table3[[#This Row],[No of Products in one Sale]])-Table3[[#This Row],[Discount]]</f>
        <v>249.6221688731232</v>
      </c>
    </row>
    <row r="239" spans="1:10" x14ac:dyDescent="0.3">
      <c r="A239" t="s">
        <v>262</v>
      </c>
      <c r="B239" t="s">
        <v>54</v>
      </c>
      <c r="C239" s="1">
        <v>44760</v>
      </c>
      <c r="D239" t="s">
        <v>62</v>
      </c>
      <c r="E239" t="s">
        <v>67</v>
      </c>
      <c r="F239">
        <v>130</v>
      </c>
      <c r="G239" t="s">
        <v>1</v>
      </c>
      <c r="H239" s="2">
        <v>7</v>
      </c>
      <c r="I239" s="3">
        <v>0.34200944354303275</v>
      </c>
      <c r="J239" s="4">
        <f>(Table3[[#This Row],[Price of One Product]]*Table3[[#This Row],[No of Products in one Sale]])-Table3[[#This Row],[Discount]]</f>
        <v>909.65799055645698</v>
      </c>
    </row>
    <row r="240" spans="1:10" x14ac:dyDescent="0.3">
      <c r="A240" t="s">
        <v>263</v>
      </c>
      <c r="B240" t="s">
        <v>55</v>
      </c>
      <c r="C240" s="1">
        <v>44750</v>
      </c>
      <c r="D240" t="s">
        <v>63</v>
      </c>
      <c r="E240" t="s">
        <v>67</v>
      </c>
      <c r="F240">
        <v>60</v>
      </c>
      <c r="G240" t="s">
        <v>2</v>
      </c>
      <c r="H240" s="2">
        <v>11</v>
      </c>
      <c r="I240" s="3">
        <v>0.92737976442865855</v>
      </c>
      <c r="J240" s="4">
        <f>(Table3[[#This Row],[Price of One Product]]*Table3[[#This Row],[No of Products in one Sale]])-Table3[[#This Row],[Discount]]</f>
        <v>659.07262023557132</v>
      </c>
    </row>
    <row r="241" spans="1:10" x14ac:dyDescent="0.3">
      <c r="A241" t="s">
        <v>264</v>
      </c>
      <c r="B241" t="s">
        <v>51</v>
      </c>
      <c r="C241" s="1">
        <v>44742</v>
      </c>
      <c r="D241" t="s">
        <v>59</v>
      </c>
      <c r="E241" t="s">
        <v>67</v>
      </c>
      <c r="F241">
        <v>72</v>
      </c>
      <c r="G241" t="s">
        <v>0</v>
      </c>
      <c r="H241" s="2">
        <v>6</v>
      </c>
      <c r="I241" s="3">
        <v>0.96938667185148797</v>
      </c>
      <c r="J241" s="4">
        <f>(Table3[[#This Row],[Price of One Product]]*Table3[[#This Row],[No of Products in one Sale]])-Table3[[#This Row],[Discount]]</f>
        <v>431.03061332814849</v>
      </c>
    </row>
    <row r="242" spans="1:10" x14ac:dyDescent="0.3">
      <c r="A242" t="s">
        <v>265</v>
      </c>
      <c r="B242" t="s">
        <v>52</v>
      </c>
      <c r="C242" s="1">
        <v>44754</v>
      </c>
      <c r="D242" t="s">
        <v>60</v>
      </c>
      <c r="E242" t="s">
        <v>67</v>
      </c>
      <c r="F242">
        <v>65</v>
      </c>
      <c r="G242" t="s">
        <v>1</v>
      </c>
      <c r="H242" s="2">
        <v>6</v>
      </c>
      <c r="I242" s="3">
        <v>0.24406307827004359</v>
      </c>
      <c r="J242" s="4">
        <f>(Table3[[#This Row],[Price of One Product]]*Table3[[#This Row],[No of Products in one Sale]])-Table3[[#This Row],[Discount]]</f>
        <v>389.75593692172998</v>
      </c>
    </row>
    <row r="243" spans="1:10" x14ac:dyDescent="0.3">
      <c r="A243" t="s">
        <v>266</v>
      </c>
      <c r="B243" t="s">
        <v>53</v>
      </c>
      <c r="C243" s="1">
        <v>44746</v>
      </c>
      <c r="D243" t="s">
        <v>61</v>
      </c>
      <c r="E243" t="s">
        <v>66</v>
      </c>
      <c r="F243">
        <v>250</v>
      </c>
      <c r="G243" t="s">
        <v>2</v>
      </c>
      <c r="H243" s="2">
        <v>2</v>
      </c>
      <c r="I243" s="3">
        <v>0.931057824254786</v>
      </c>
      <c r="J243" s="4">
        <f>(Table3[[#This Row],[Price of One Product]]*Table3[[#This Row],[No of Products in one Sale]])-Table3[[#This Row],[Discount]]</f>
        <v>499.06894217574524</v>
      </c>
    </row>
    <row r="244" spans="1:10" x14ac:dyDescent="0.3">
      <c r="A244" t="s">
        <v>267</v>
      </c>
      <c r="B244" t="s">
        <v>54</v>
      </c>
      <c r="C244" s="1">
        <v>44752</v>
      </c>
      <c r="D244" t="s">
        <v>62</v>
      </c>
      <c r="E244" t="s">
        <v>66</v>
      </c>
      <c r="F244">
        <v>130</v>
      </c>
      <c r="G244" t="s">
        <v>0</v>
      </c>
      <c r="H244" s="2">
        <v>4</v>
      </c>
      <c r="I244" s="3">
        <v>0.67570229189541975</v>
      </c>
      <c r="J244" s="4">
        <f>(Table3[[#This Row],[Price of One Product]]*Table3[[#This Row],[No of Products in one Sale]])-Table3[[#This Row],[Discount]]</f>
        <v>519.32429770810461</v>
      </c>
    </row>
    <row r="245" spans="1:10" x14ac:dyDescent="0.3">
      <c r="A245" t="s">
        <v>268</v>
      </c>
      <c r="B245" t="s">
        <v>51</v>
      </c>
      <c r="C245" s="1">
        <v>44725</v>
      </c>
      <c r="D245" t="s">
        <v>59</v>
      </c>
      <c r="E245" t="s">
        <v>66</v>
      </c>
      <c r="F245">
        <v>72</v>
      </c>
      <c r="G245" t="s">
        <v>1</v>
      </c>
      <c r="H245" s="2">
        <v>7</v>
      </c>
      <c r="I245" s="3">
        <v>0.91192982577548221</v>
      </c>
      <c r="J245" s="4">
        <f>(Table3[[#This Row],[Price of One Product]]*Table3[[#This Row],[No of Products in one Sale]])-Table3[[#This Row],[Discount]]</f>
        <v>503.08807017422453</v>
      </c>
    </row>
    <row r="246" spans="1:10" x14ac:dyDescent="0.3">
      <c r="A246" t="s">
        <v>269</v>
      </c>
      <c r="B246" t="s">
        <v>52</v>
      </c>
      <c r="C246" s="1">
        <v>44734</v>
      </c>
      <c r="D246" t="s">
        <v>60</v>
      </c>
      <c r="E246" t="s">
        <v>67</v>
      </c>
      <c r="F246">
        <v>65</v>
      </c>
      <c r="G246" t="s">
        <v>2</v>
      </c>
      <c r="H246" s="2">
        <v>13</v>
      </c>
      <c r="I246" s="3">
        <v>0.46313611506175134</v>
      </c>
      <c r="J246" s="4">
        <f>(Table3[[#This Row],[Price of One Product]]*Table3[[#This Row],[No of Products in one Sale]])-Table3[[#This Row],[Discount]]</f>
        <v>844.53686388493827</v>
      </c>
    </row>
    <row r="247" spans="1:10" x14ac:dyDescent="0.3">
      <c r="A247" t="s">
        <v>270</v>
      </c>
      <c r="B247" t="s">
        <v>53</v>
      </c>
      <c r="C247" s="1">
        <v>44761</v>
      </c>
      <c r="D247" t="s">
        <v>61</v>
      </c>
      <c r="E247" t="s">
        <v>67</v>
      </c>
      <c r="F247">
        <v>250</v>
      </c>
      <c r="G247" t="s">
        <v>0</v>
      </c>
      <c r="H247" s="2">
        <v>1</v>
      </c>
      <c r="I247" s="3">
        <v>5.3530222562513607E-2</v>
      </c>
      <c r="J247" s="4">
        <f>(Table3[[#This Row],[Price of One Product]]*Table3[[#This Row],[No of Products in one Sale]])-Table3[[#This Row],[Discount]]</f>
        <v>249.9464697774375</v>
      </c>
    </row>
    <row r="248" spans="1:10" x14ac:dyDescent="0.3">
      <c r="A248" t="s">
        <v>271</v>
      </c>
      <c r="B248" t="s">
        <v>54</v>
      </c>
      <c r="C248" s="1">
        <v>44735</v>
      </c>
      <c r="D248" t="s">
        <v>62</v>
      </c>
      <c r="E248" t="s">
        <v>67</v>
      </c>
      <c r="F248">
        <v>130</v>
      </c>
      <c r="G248" t="s">
        <v>1</v>
      </c>
      <c r="H248" s="2">
        <v>2</v>
      </c>
      <c r="I248" s="3">
        <v>0.10135414856508229</v>
      </c>
      <c r="J248" s="4">
        <f>(Table3[[#This Row],[Price of One Product]]*Table3[[#This Row],[No of Products in one Sale]])-Table3[[#This Row],[Discount]]</f>
        <v>259.89864585143494</v>
      </c>
    </row>
    <row r="249" spans="1:10" x14ac:dyDescent="0.3">
      <c r="A249" t="s">
        <v>272</v>
      </c>
      <c r="B249" t="s">
        <v>55</v>
      </c>
      <c r="C249" s="1">
        <v>44753</v>
      </c>
      <c r="D249" t="s">
        <v>63</v>
      </c>
      <c r="E249" t="s">
        <v>67</v>
      </c>
      <c r="F249">
        <v>60</v>
      </c>
      <c r="G249" t="s">
        <v>2</v>
      </c>
      <c r="H249" s="2">
        <v>10</v>
      </c>
      <c r="I249" s="3">
        <v>0.15413196820236597</v>
      </c>
      <c r="J249" s="4">
        <f>(Table3[[#This Row],[Price of One Product]]*Table3[[#This Row],[No of Products in one Sale]])-Table3[[#This Row],[Discount]]</f>
        <v>599.84586803179764</v>
      </c>
    </row>
    <row r="250" spans="1:10" x14ac:dyDescent="0.3">
      <c r="A250" t="s">
        <v>273</v>
      </c>
      <c r="B250" t="s">
        <v>56</v>
      </c>
      <c r="C250" s="1">
        <v>44732</v>
      </c>
      <c r="D250" t="s">
        <v>64</v>
      </c>
      <c r="E250" t="s">
        <v>67</v>
      </c>
      <c r="F250">
        <v>95</v>
      </c>
      <c r="G250" t="s">
        <v>0</v>
      </c>
      <c r="H250" s="2">
        <v>4</v>
      </c>
      <c r="I250" s="3">
        <v>0.99147229272651061</v>
      </c>
      <c r="J250" s="4">
        <f>(Table3[[#This Row],[Price of One Product]]*Table3[[#This Row],[No of Products in one Sale]])-Table3[[#This Row],[Discount]]</f>
        <v>379.00852770727352</v>
      </c>
    </row>
    <row r="251" spans="1:10" x14ac:dyDescent="0.3">
      <c r="A251" t="s">
        <v>274</v>
      </c>
      <c r="B251" t="s">
        <v>51</v>
      </c>
      <c r="C251" s="1">
        <v>44748</v>
      </c>
      <c r="D251" t="s">
        <v>59</v>
      </c>
      <c r="E251" t="s">
        <v>67</v>
      </c>
      <c r="F251">
        <v>72</v>
      </c>
      <c r="G251" t="s">
        <v>1</v>
      </c>
      <c r="H251" s="2">
        <v>4</v>
      </c>
      <c r="I251" s="3">
        <v>0.26792541838229555</v>
      </c>
      <c r="J251" s="4">
        <f>(Table3[[#This Row],[Price of One Product]]*Table3[[#This Row],[No of Products in one Sale]])-Table3[[#This Row],[Discount]]</f>
        <v>287.73207458161772</v>
      </c>
    </row>
    <row r="252" spans="1:10" x14ac:dyDescent="0.3">
      <c r="A252" t="s">
        <v>275</v>
      </c>
      <c r="B252" t="s">
        <v>52</v>
      </c>
      <c r="C252" s="1">
        <v>44731</v>
      </c>
      <c r="D252" t="s">
        <v>60</v>
      </c>
      <c r="E252" t="s">
        <v>67</v>
      </c>
      <c r="F252">
        <v>65</v>
      </c>
      <c r="G252" t="s">
        <v>2</v>
      </c>
      <c r="H252" s="2">
        <v>7</v>
      </c>
      <c r="I252" s="3">
        <v>0.67400237007588726</v>
      </c>
      <c r="J252" s="4">
        <f>(Table3[[#This Row],[Price of One Product]]*Table3[[#This Row],[No of Products in one Sale]])-Table3[[#This Row],[Discount]]</f>
        <v>454.32599762992413</v>
      </c>
    </row>
    <row r="253" spans="1:10" x14ac:dyDescent="0.3">
      <c r="A253" t="s">
        <v>276</v>
      </c>
      <c r="B253" t="s">
        <v>53</v>
      </c>
      <c r="C253" s="1">
        <v>44725</v>
      </c>
      <c r="D253" t="s">
        <v>61</v>
      </c>
      <c r="E253" t="s">
        <v>66</v>
      </c>
      <c r="F253">
        <v>250</v>
      </c>
      <c r="G253" t="s">
        <v>0</v>
      </c>
      <c r="H253" s="2">
        <v>2</v>
      </c>
      <c r="I253" s="3">
        <v>0.10779012567415547</v>
      </c>
      <c r="J253" s="4">
        <f>(Table3[[#This Row],[Price of One Product]]*Table3[[#This Row],[No of Products in one Sale]])-Table3[[#This Row],[Discount]]</f>
        <v>499.89220987432583</v>
      </c>
    </row>
    <row r="254" spans="1:10" x14ac:dyDescent="0.3">
      <c r="A254" t="s">
        <v>277</v>
      </c>
      <c r="B254" t="s">
        <v>54</v>
      </c>
      <c r="C254" s="1">
        <v>44753</v>
      </c>
      <c r="D254" t="s">
        <v>62</v>
      </c>
      <c r="E254" t="s">
        <v>66</v>
      </c>
      <c r="F254">
        <v>130</v>
      </c>
      <c r="G254" t="s">
        <v>1</v>
      </c>
      <c r="H254" s="2">
        <v>4</v>
      </c>
      <c r="I254" s="3">
        <v>6.5825812137458972E-2</v>
      </c>
      <c r="J254" s="4">
        <f>(Table3[[#This Row],[Price of One Product]]*Table3[[#This Row],[No of Products in one Sale]])-Table3[[#This Row],[Discount]]</f>
        <v>519.9341741878626</v>
      </c>
    </row>
    <row r="255" spans="1:10" x14ac:dyDescent="0.3">
      <c r="A255" t="s">
        <v>278</v>
      </c>
      <c r="B255" t="s">
        <v>51</v>
      </c>
      <c r="C255" s="1">
        <v>44738</v>
      </c>
      <c r="D255" t="s">
        <v>59</v>
      </c>
      <c r="E255" t="s">
        <v>66</v>
      </c>
      <c r="F255">
        <v>72</v>
      </c>
      <c r="G255" t="s">
        <v>2</v>
      </c>
      <c r="H255" s="2">
        <v>11</v>
      </c>
      <c r="I255" s="3">
        <v>0.36167362480508147</v>
      </c>
      <c r="J255" s="4">
        <f>(Table3[[#This Row],[Price of One Product]]*Table3[[#This Row],[No of Products in one Sale]])-Table3[[#This Row],[Discount]]</f>
        <v>791.63832637519488</v>
      </c>
    </row>
    <row r="256" spans="1:10" x14ac:dyDescent="0.3">
      <c r="A256" t="s">
        <v>279</v>
      </c>
      <c r="B256" t="s">
        <v>52</v>
      </c>
      <c r="C256" s="1">
        <v>44762</v>
      </c>
      <c r="D256" t="s">
        <v>60</v>
      </c>
      <c r="E256" t="s">
        <v>67</v>
      </c>
      <c r="F256">
        <v>65</v>
      </c>
      <c r="G256" t="s">
        <v>0</v>
      </c>
      <c r="H256" s="2">
        <v>9</v>
      </c>
      <c r="I256" s="3">
        <v>0.15611277710708626</v>
      </c>
      <c r="J256" s="4">
        <f>(Table3[[#This Row],[Price of One Product]]*Table3[[#This Row],[No of Products in one Sale]])-Table3[[#This Row],[Discount]]</f>
        <v>584.84388722289293</v>
      </c>
    </row>
    <row r="257" spans="1:10" x14ac:dyDescent="0.3">
      <c r="A257" t="s">
        <v>280</v>
      </c>
      <c r="B257" t="s">
        <v>53</v>
      </c>
      <c r="C257" s="1">
        <v>44756</v>
      </c>
      <c r="D257" t="s">
        <v>61</v>
      </c>
      <c r="E257" t="s">
        <v>67</v>
      </c>
      <c r="F257">
        <v>250</v>
      </c>
      <c r="G257" t="s">
        <v>1</v>
      </c>
      <c r="H257" s="2">
        <v>2</v>
      </c>
      <c r="I257" s="3">
        <v>0.11892962947938523</v>
      </c>
      <c r="J257" s="4">
        <f>(Table3[[#This Row],[Price of One Product]]*Table3[[#This Row],[No of Products in one Sale]])-Table3[[#This Row],[Discount]]</f>
        <v>499.8810703705206</v>
      </c>
    </row>
    <row r="258" spans="1:10" x14ac:dyDescent="0.3">
      <c r="A258" t="s">
        <v>281</v>
      </c>
      <c r="B258" t="s">
        <v>54</v>
      </c>
      <c r="C258" s="1">
        <v>44744</v>
      </c>
      <c r="D258" t="s">
        <v>62</v>
      </c>
      <c r="E258" t="s">
        <v>67</v>
      </c>
      <c r="F258">
        <v>130</v>
      </c>
      <c r="G258" t="s">
        <v>2</v>
      </c>
      <c r="H258" s="2">
        <v>5</v>
      </c>
      <c r="I258" s="3">
        <v>0.94178498482348294</v>
      </c>
      <c r="J258" s="4">
        <f>(Table3[[#This Row],[Price of One Product]]*Table3[[#This Row],[No of Products in one Sale]])-Table3[[#This Row],[Discount]]</f>
        <v>649.05821501517653</v>
      </c>
    </row>
    <row r="259" spans="1:10" x14ac:dyDescent="0.3">
      <c r="A259" t="s">
        <v>282</v>
      </c>
      <c r="B259" t="s">
        <v>55</v>
      </c>
      <c r="C259" s="1">
        <v>44753</v>
      </c>
      <c r="D259" t="s">
        <v>63</v>
      </c>
      <c r="E259" t="s">
        <v>67</v>
      </c>
      <c r="F259">
        <v>60</v>
      </c>
      <c r="G259" t="s">
        <v>0</v>
      </c>
      <c r="H259" s="2">
        <v>5</v>
      </c>
      <c r="I259" s="3">
        <v>0.82224390590219021</v>
      </c>
      <c r="J259" s="4">
        <f>(Table3[[#This Row],[Price of One Product]]*Table3[[#This Row],[No of Products in one Sale]])-Table3[[#This Row],[Discount]]</f>
        <v>299.17775609409779</v>
      </c>
    </row>
    <row r="260" spans="1:10" x14ac:dyDescent="0.3">
      <c r="A260" t="s">
        <v>283</v>
      </c>
      <c r="B260" t="s">
        <v>51</v>
      </c>
      <c r="C260" s="1">
        <v>44762</v>
      </c>
      <c r="D260" t="s">
        <v>59</v>
      </c>
      <c r="E260" t="s">
        <v>67</v>
      </c>
      <c r="F260">
        <v>72</v>
      </c>
      <c r="G260" t="s">
        <v>1</v>
      </c>
      <c r="H260" s="2">
        <v>10</v>
      </c>
      <c r="I260" s="3">
        <v>1.5473035826796155E-2</v>
      </c>
      <c r="J260" s="4">
        <f>(Table3[[#This Row],[Price of One Product]]*Table3[[#This Row],[No of Products in one Sale]])-Table3[[#This Row],[Discount]]</f>
        <v>719.98452696417326</v>
      </c>
    </row>
    <row r="261" spans="1:10" x14ac:dyDescent="0.3">
      <c r="A261" t="s">
        <v>284</v>
      </c>
      <c r="B261" t="s">
        <v>52</v>
      </c>
      <c r="C261" s="1">
        <v>44740</v>
      </c>
      <c r="D261" t="s">
        <v>60</v>
      </c>
      <c r="E261" t="s">
        <v>67</v>
      </c>
      <c r="F261">
        <v>65</v>
      </c>
      <c r="G261" t="s">
        <v>2</v>
      </c>
      <c r="H261" s="2">
        <v>3</v>
      </c>
      <c r="I261" s="3">
        <v>0.57002189482885535</v>
      </c>
      <c r="J261" s="4">
        <f>(Table3[[#This Row],[Price of One Product]]*Table3[[#This Row],[No of Products in one Sale]])-Table3[[#This Row],[Discount]]</f>
        <v>194.42997810517113</v>
      </c>
    </row>
    <row r="262" spans="1:10" x14ac:dyDescent="0.3">
      <c r="A262" t="s">
        <v>285</v>
      </c>
      <c r="B262" t="s">
        <v>53</v>
      </c>
      <c r="C262" s="1">
        <v>44729</v>
      </c>
      <c r="D262" t="s">
        <v>61</v>
      </c>
      <c r="E262" t="s">
        <v>66</v>
      </c>
      <c r="F262">
        <v>250</v>
      </c>
      <c r="G262" t="s">
        <v>0</v>
      </c>
      <c r="H262" s="2">
        <v>3</v>
      </c>
      <c r="I262" s="3">
        <v>0.22169123462523532</v>
      </c>
      <c r="J262" s="4">
        <f>(Table3[[#This Row],[Price of One Product]]*Table3[[#This Row],[No of Products in one Sale]])-Table3[[#This Row],[Discount]]</f>
        <v>749.77830876537473</v>
      </c>
    </row>
    <row r="263" spans="1:10" x14ac:dyDescent="0.3">
      <c r="A263" t="s">
        <v>286</v>
      </c>
      <c r="B263" t="s">
        <v>54</v>
      </c>
      <c r="C263" s="1">
        <v>44727</v>
      </c>
      <c r="D263" t="s">
        <v>62</v>
      </c>
      <c r="E263" t="s">
        <v>67</v>
      </c>
      <c r="F263">
        <v>130</v>
      </c>
      <c r="G263" t="s">
        <v>1</v>
      </c>
      <c r="H263" s="2">
        <v>6</v>
      </c>
      <c r="I263" s="3">
        <v>0.16327712663351335</v>
      </c>
      <c r="J263" s="4">
        <f>(Table3[[#This Row],[Price of One Product]]*Table3[[#This Row],[No of Products in one Sale]])-Table3[[#This Row],[Discount]]</f>
        <v>779.83672287336651</v>
      </c>
    </row>
    <row r="264" spans="1:10" x14ac:dyDescent="0.3">
      <c r="A264" t="s">
        <v>287</v>
      </c>
      <c r="B264" t="s">
        <v>51</v>
      </c>
      <c r="C264" s="1">
        <v>44734</v>
      </c>
      <c r="D264" t="s">
        <v>59</v>
      </c>
      <c r="E264" t="s">
        <v>66</v>
      </c>
      <c r="F264">
        <v>72</v>
      </c>
      <c r="G264" t="s">
        <v>2</v>
      </c>
      <c r="H264" s="2">
        <v>9</v>
      </c>
      <c r="I264" s="3">
        <v>0.71431849239690393</v>
      </c>
      <c r="J264" s="4">
        <f>(Table3[[#This Row],[Price of One Product]]*Table3[[#This Row],[No of Products in one Sale]])-Table3[[#This Row],[Discount]]</f>
        <v>647.28568150760304</v>
      </c>
    </row>
    <row r="265" spans="1:10" x14ac:dyDescent="0.3">
      <c r="A265" t="s">
        <v>288</v>
      </c>
      <c r="B265" t="s">
        <v>52</v>
      </c>
      <c r="C265" s="1">
        <v>44744</v>
      </c>
      <c r="D265" t="s">
        <v>60</v>
      </c>
      <c r="E265" t="s">
        <v>67</v>
      </c>
      <c r="F265">
        <v>65</v>
      </c>
      <c r="G265" t="s">
        <v>0</v>
      </c>
      <c r="H265" s="2">
        <v>7</v>
      </c>
      <c r="I265" s="3">
        <v>0.58151491016386692</v>
      </c>
      <c r="J265" s="4">
        <f>(Table3[[#This Row],[Price of One Product]]*Table3[[#This Row],[No of Products in one Sale]])-Table3[[#This Row],[Discount]]</f>
        <v>454.41848508983611</v>
      </c>
    </row>
    <row r="266" spans="1:10" x14ac:dyDescent="0.3">
      <c r="A266" t="s">
        <v>289</v>
      </c>
      <c r="B266" t="s">
        <v>53</v>
      </c>
      <c r="C266" s="1">
        <v>44737</v>
      </c>
      <c r="D266" t="s">
        <v>61</v>
      </c>
      <c r="E266" t="s">
        <v>66</v>
      </c>
      <c r="F266">
        <v>250</v>
      </c>
      <c r="G266" t="s">
        <v>1</v>
      </c>
      <c r="H266" s="2">
        <v>1</v>
      </c>
      <c r="I266" s="3">
        <v>0.94025500085845537</v>
      </c>
      <c r="J266" s="4">
        <f>(Table3[[#This Row],[Price of One Product]]*Table3[[#This Row],[No of Products in one Sale]])-Table3[[#This Row],[Discount]]</f>
        <v>249.05974499914154</v>
      </c>
    </row>
    <row r="267" spans="1:10" x14ac:dyDescent="0.3">
      <c r="A267" t="s">
        <v>290</v>
      </c>
      <c r="B267" t="s">
        <v>54</v>
      </c>
      <c r="C267" s="1">
        <v>44752</v>
      </c>
      <c r="D267" t="s">
        <v>62</v>
      </c>
      <c r="E267" t="s">
        <v>67</v>
      </c>
      <c r="F267">
        <v>130</v>
      </c>
      <c r="G267" t="s">
        <v>2</v>
      </c>
      <c r="H267" s="2">
        <v>3</v>
      </c>
      <c r="I267" s="3">
        <v>0.85696007733376245</v>
      </c>
      <c r="J267" s="4">
        <f>(Table3[[#This Row],[Price of One Product]]*Table3[[#This Row],[No of Products in one Sale]])-Table3[[#This Row],[Discount]]</f>
        <v>389.14303992266622</v>
      </c>
    </row>
    <row r="268" spans="1:10" x14ac:dyDescent="0.3">
      <c r="A268" t="s">
        <v>291</v>
      </c>
      <c r="B268" t="s">
        <v>55</v>
      </c>
      <c r="C268" s="1">
        <v>44736</v>
      </c>
      <c r="D268" t="s">
        <v>63</v>
      </c>
      <c r="E268" t="s">
        <v>66</v>
      </c>
      <c r="F268">
        <v>60</v>
      </c>
      <c r="G268" t="s">
        <v>0</v>
      </c>
      <c r="H268" s="2">
        <v>6</v>
      </c>
      <c r="I268" s="3">
        <v>0.73704670632037661</v>
      </c>
      <c r="J268" s="4">
        <f>(Table3[[#This Row],[Price of One Product]]*Table3[[#This Row],[No of Products in one Sale]])-Table3[[#This Row],[Discount]]</f>
        <v>359.26295329367963</v>
      </c>
    </row>
    <row r="269" spans="1:10" x14ac:dyDescent="0.3">
      <c r="A269" t="s">
        <v>292</v>
      </c>
      <c r="B269" t="s">
        <v>56</v>
      </c>
      <c r="C269" s="1">
        <v>44752</v>
      </c>
      <c r="D269" t="s">
        <v>64</v>
      </c>
      <c r="E269" t="s">
        <v>67</v>
      </c>
      <c r="F269">
        <v>95</v>
      </c>
      <c r="G269" t="s">
        <v>1</v>
      </c>
      <c r="H269" s="2">
        <v>5</v>
      </c>
      <c r="I269" s="3">
        <v>0.99556674564351355</v>
      </c>
      <c r="J269" s="4">
        <f>(Table3[[#This Row],[Price of One Product]]*Table3[[#This Row],[No of Products in one Sale]])-Table3[[#This Row],[Discount]]</f>
        <v>474.00443325435651</v>
      </c>
    </row>
    <row r="270" spans="1:10" x14ac:dyDescent="0.3">
      <c r="A270" t="s">
        <v>293</v>
      </c>
      <c r="B270" t="s">
        <v>51</v>
      </c>
      <c r="C270" s="1">
        <v>44759</v>
      </c>
      <c r="D270" t="s">
        <v>59</v>
      </c>
      <c r="E270" t="s">
        <v>66</v>
      </c>
      <c r="F270">
        <v>72</v>
      </c>
      <c r="G270" t="s">
        <v>2</v>
      </c>
      <c r="H270" s="2">
        <v>8</v>
      </c>
      <c r="I270" s="3">
        <v>0.82336237784945987</v>
      </c>
      <c r="J270" s="4">
        <f>(Table3[[#This Row],[Price of One Product]]*Table3[[#This Row],[No of Products in one Sale]])-Table3[[#This Row],[Discount]]</f>
        <v>575.17663762215057</v>
      </c>
    </row>
    <row r="271" spans="1:10" x14ac:dyDescent="0.3">
      <c r="A271" t="s">
        <v>294</v>
      </c>
      <c r="B271" t="s">
        <v>52</v>
      </c>
      <c r="C271" s="1">
        <v>44763</v>
      </c>
      <c r="D271" t="s">
        <v>60</v>
      </c>
      <c r="E271" t="s">
        <v>67</v>
      </c>
      <c r="F271">
        <v>65</v>
      </c>
      <c r="G271" t="s">
        <v>0</v>
      </c>
      <c r="H271" s="2">
        <v>13</v>
      </c>
      <c r="I271" s="3">
        <v>0.21429857063805535</v>
      </c>
      <c r="J271" s="4">
        <f>(Table3[[#This Row],[Price of One Product]]*Table3[[#This Row],[No of Products in one Sale]])-Table3[[#This Row],[Discount]]</f>
        <v>844.78570142936189</v>
      </c>
    </row>
    <row r="272" spans="1:10" x14ac:dyDescent="0.3">
      <c r="A272" t="s">
        <v>295</v>
      </c>
      <c r="B272" t="s">
        <v>53</v>
      </c>
      <c r="C272" s="1">
        <v>44763</v>
      </c>
      <c r="D272" t="s">
        <v>61</v>
      </c>
      <c r="E272" t="s">
        <v>66</v>
      </c>
      <c r="F272">
        <v>250</v>
      </c>
      <c r="G272" t="s">
        <v>1</v>
      </c>
      <c r="H272" s="2">
        <v>2</v>
      </c>
      <c r="I272" s="3">
        <v>0.9858246368711242</v>
      </c>
      <c r="J272" s="4">
        <f>(Table3[[#This Row],[Price of One Product]]*Table3[[#This Row],[No of Products in one Sale]])-Table3[[#This Row],[Discount]]</f>
        <v>499.01417536312886</v>
      </c>
    </row>
    <row r="273" spans="1:10" x14ac:dyDescent="0.3">
      <c r="A273" t="s">
        <v>296</v>
      </c>
      <c r="B273" t="s">
        <v>54</v>
      </c>
      <c r="C273" s="1">
        <v>44750</v>
      </c>
      <c r="D273" t="s">
        <v>62</v>
      </c>
      <c r="E273" t="s">
        <v>67</v>
      </c>
      <c r="F273">
        <v>130</v>
      </c>
      <c r="G273" t="s">
        <v>2</v>
      </c>
      <c r="H273" s="2">
        <v>6</v>
      </c>
      <c r="I273" s="3">
        <v>2.0787857004193944E-2</v>
      </c>
      <c r="J273" s="4">
        <f>(Table3[[#This Row],[Price of One Product]]*Table3[[#This Row],[No of Products in one Sale]])-Table3[[#This Row],[Discount]]</f>
        <v>779.97921214299583</v>
      </c>
    </row>
    <row r="274" spans="1:10" x14ac:dyDescent="0.3">
      <c r="A274" t="s">
        <v>297</v>
      </c>
      <c r="B274" t="s">
        <v>51</v>
      </c>
      <c r="C274" s="1">
        <v>44751</v>
      </c>
      <c r="D274" t="s">
        <v>59</v>
      </c>
      <c r="E274" t="s">
        <v>66</v>
      </c>
      <c r="F274">
        <v>72</v>
      </c>
      <c r="G274" t="s">
        <v>0</v>
      </c>
      <c r="H274" s="2">
        <v>8</v>
      </c>
      <c r="I274" s="3">
        <v>0.4043041551106823</v>
      </c>
      <c r="J274" s="4">
        <f>(Table3[[#This Row],[Price of One Product]]*Table3[[#This Row],[No of Products in one Sale]])-Table3[[#This Row],[Discount]]</f>
        <v>575.59569584488929</v>
      </c>
    </row>
    <row r="275" spans="1:10" x14ac:dyDescent="0.3">
      <c r="A275" t="s">
        <v>298</v>
      </c>
      <c r="B275" t="s">
        <v>52</v>
      </c>
      <c r="C275" s="1">
        <v>44736</v>
      </c>
      <c r="D275" t="s">
        <v>60</v>
      </c>
      <c r="E275" t="s">
        <v>67</v>
      </c>
      <c r="F275">
        <v>65</v>
      </c>
      <c r="G275" t="s">
        <v>1</v>
      </c>
      <c r="H275" s="2">
        <v>6</v>
      </c>
      <c r="I275" s="3">
        <v>0.86228936216370378</v>
      </c>
      <c r="J275" s="4">
        <f>(Table3[[#This Row],[Price of One Product]]*Table3[[#This Row],[No of Products in one Sale]])-Table3[[#This Row],[Discount]]</f>
        <v>389.13771063783628</v>
      </c>
    </row>
    <row r="276" spans="1:10" x14ac:dyDescent="0.3">
      <c r="A276" t="s">
        <v>299</v>
      </c>
      <c r="B276" t="s">
        <v>53</v>
      </c>
      <c r="C276" s="1">
        <v>44737</v>
      </c>
      <c r="D276" t="s">
        <v>61</v>
      </c>
      <c r="E276" t="s">
        <v>66</v>
      </c>
      <c r="F276">
        <v>250</v>
      </c>
      <c r="G276" t="s">
        <v>2</v>
      </c>
      <c r="H276" s="2">
        <v>3</v>
      </c>
      <c r="I276" s="3">
        <v>0.20267200262393703</v>
      </c>
      <c r="J276" s="4">
        <f>(Table3[[#This Row],[Price of One Product]]*Table3[[#This Row],[No of Products in one Sale]])-Table3[[#This Row],[Discount]]</f>
        <v>749.7973279973761</v>
      </c>
    </row>
    <row r="277" spans="1:10" x14ac:dyDescent="0.3">
      <c r="A277" t="s">
        <v>300</v>
      </c>
      <c r="B277" t="s">
        <v>54</v>
      </c>
      <c r="C277" s="1">
        <v>44744</v>
      </c>
      <c r="D277" t="s">
        <v>59</v>
      </c>
      <c r="E277" t="s">
        <v>67</v>
      </c>
      <c r="F277">
        <v>72</v>
      </c>
      <c r="G277" t="s">
        <v>0</v>
      </c>
      <c r="H277" s="2">
        <v>6</v>
      </c>
      <c r="I277" s="3">
        <v>0.42721330596562979</v>
      </c>
      <c r="J277" s="4">
        <f>(Table3[[#This Row],[Price of One Product]]*Table3[[#This Row],[No of Products in one Sale]])-Table3[[#This Row],[Discount]]</f>
        <v>431.57278669403439</v>
      </c>
    </row>
    <row r="278" spans="1:10" x14ac:dyDescent="0.3">
      <c r="A278" t="s">
        <v>301</v>
      </c>
      <c r="B278" t="s">
        <v>51</v>
      </c>
      <c r="C278" s="1">
        <v>44735</v>
      </c>
      <c r="D278" t="s">
        <v>60</v>
      </c>
      <c r="E278" t="s">
        <v>66</v>
      </c>
      <c r="F278">
        <v>65</v>
      </c>
      <c r="G278" t="s">
        <v>0</v>
      </c>
      <c r="H278" s="2">
        <v>13</v>
      </c>
      <c r="I278" s="3">
        <v>0.87108149970897442</v>
      </c>
      <c r="J278" s="4">
        <f>(Table3[[#This Row],[Price of One Product]]*Table3[[#This Row],[No of Products in one Sale]])-Table3[[#This Row],[Discount]]</f>
        <v>844.12891850029098</v>
      </c>
    </row>
    <row r="279" spans="1:10" x14ac:dyDescent="0.3">
      <c r="A279" t="s">
        <v>302</v>
      </c>
      <c r="B279" t="s">
        <v>52</v>
      </c>
      <c r="C279" s="1">
        <v>44751</v>
      </c>
      <c r="D279" t="s">
        <v>61</v>
      </c>
      <c r="E279" t="s">
        <v>67</v>
      </c>
      <c r="F279">
        <v>250</v>
      </c>
      <c r="G279" t="s">
        <v>1</v>
      </c>
      <c r="H279" s="2">
        <v>1</v>
      </c>
      <c r="I279" s="3">
        <v>2.6358009716956676E-2</v>
      </c>
      <c r="J279" s="4">
        <f>(Table3[[#This Row],[Price of One Product]]*Table3[[#This Row],[No of Products in one Sale]])-Table3[[#This Row],[Discount]]</f>
        <v>249.97364199028306</v>
      </c>
    </row>
    <row r="280" spans="1:10" x14ac:dyDescent="0.3">
      <c r="A280" t="s">
        <v>303</v>
      </c>
      <c r="B280" t="s">
        <v>53</v>
      </c>
      <c r="C280" s="1">
        <v>44726</v>
      </c>
      <c r="D280" t="s">
        <v>62</v>
      </c>
      <c r="E280" t="s">
        <v>67</v>
      </c>
      <c r="F280">
        <v>130</v>
      </c>
      <c r="G280" t="s">
        <v>2</v>
      </c>
      <c r="H280" s="2">
        <v>3</v>
      </c>
      <c r="I280" s="3">
        <v>0.77767785740350603</v>
      </c>
      <c r="J280" s="4">
        <f>(Table3[[#This Row],[Price of One Product]]*Table3[[#This Row],[No of Products in one Sale]])-Table3[[#This Row],[Discount]]</f>
        <v>389.22232214259651</v>
      </c>
    </row>
    <row r="281" spans="1:10" x14ac:dyDescent="0.3">
      <c r="A281" t="s">
        <v>304</v>
      </c>
      <c r="B281" t="s">
        <v>54</v>
      </c>
      <c r="C281" s="1">
        <v>44749</v>
      </c>
      <c r="D281" t="s">
        <v>59</v>
      </c>
      <c r="E281" t="s">
        <v>67</v>
      </c>
      <c r="F281">
        <v>72</v>
      </c>
      <c r="G281" t="s">
        <v>0</v>
      </c>
      <c r="H281" s="2">
        <v>3</v>
      </c>
      <c r="I281" s="3">
        <v>0.68682565144107521</v>
      </c>
      <c r="J281" s="4">
        <f>(Table3[[#This Row],[Price of One Product]]*Table3[[#This Row],[No of Products in one Sale]])-Table3[[#This Row],[Discount]]</f>
        <v>215.31317434855893</v>
      </c>
    </row>
    <row r="282" spans="1:10" x14ac:dyDescent="0.3">
      <c r="A282" t="s">
        <v>305</v>
      </c>
      <c r="B282" t="s">
        <v>51</v>
      </c>
      <c r="C282" s="1">
        <v>44734</v>
      </c>
      <c r="D282" t="s">
        <v>60</v>
      </c>
      <c r="E282" t="s">
        <v>67</v>
      </c>
      <c r="F282">
        <v>65</v>
      </c>
      <c r="G282" t="s">
        <v>1</v>
      </c>
      <c r="H282" s="2">
        <v>14</v>
      </c>
      <c r="I282" s="3">
        <v>0.58269109940879071</v>
      </c>
      <c r="J282" s="4">
        <f>(Table3[[#This Row],[Price of One Product]]*Table3[[#This Row],[No of Products in one Sale]])-Table3[[#This Row],[Discount]]</f>
        <v>909.41730890059125</v>
      </c>
    </row>
    <row r="283" spans="1:10" x14ac:dyDescent="0.3">
      <c r="A283" t="s">
        <v>306</v>
      </c>
      <c r="B283" t="s">
        <v>52</v>
      </c>
      <c r="C283" s="1">
        <v>44726</v>
      </c>
      <c r="D283" t="s">
        <v>61</v>
      </c>
      <c r="E283" t="s">
        <v>67</v>
      </c>
      <c r="F283">
        <v>250</v>
      </c>
      <c r="G283" t="s">
        <v>2</v>
      </c>
      <c r="H283" s="2">
        <v>3</v>
      </c>
      <c r="I283" s="3">
        <v>0.44339908275720785</v>
      </c>
      <c r="J283" s="4">
        <f>(Table3[[#This Row],[Price of One Product]]*Table3[[#This Row],[No of Products in one Sale]])-Table3[[#This Row],[Discount]]</f>
        <v>749.5566009172428</v>
      </c>
    </row>
    <row r="284" spans="1:10" x14ac:dyDescent="0.3">
      <c r="A284" t="s">
        <v>307</v>
      </c>
      <c r="B284" t="s">
        <v>53</v>
      </c>
      <c r="C284" s="1">
        <v>44743</v>
      </c>
      <c r="D284" t="s">
        <v>62</v>
      </c>
      <c r="E284" t="s">
        <v>66</v>
      </c>
      <c r="F284">
        <v>130</v>
      </c>
      <c r="G284" t="s">
        <v>0</v>
      </c>
      <c r="H284" s="2">
        <v>3</v>
      </c>
      <c r="I284" s="3">
        <v>0.12575036810320794</v>
      </c>
      <c r="J284" s="4">
        <f>(Table3[[#This Row],[Price of One Product]]*Table3[[#This Row],[No of Products in one Sale]])-Table3[[#This Row],[Discount]]</f>
        <v>389.87424963189682</v>
      </c>
    </row>
    <row r="285" spans="1:10" x14ac:dyDescent="0.3">
      <c r="A285" t="s">
        <v>308</v>
      </c>
      <c r="B285" t="s">
        <v>54</v>
      </c>
      <c r="C285" s="1">
        <v>44742</v>
      </c>
      <c r="D285" t="s">
        <v>63</v>
      </c>
      <c r="E285" t="s">
        <v>67</v>
      </c>
      <c r="F285">
        <v>60</v>
      </c>
      <c r="G285" t="s">
        <v>1</v>
      </c>
      <c r="H285" s="2">
        <v>13</v>
      </c>
      <c r="I285" s="3">
        <v>0.58443763111426095</v>
      </c>
      <c r="J285" s="4">
        <f>(Table3[[#This Row],[Price of One Product]]*Table3[[#This Row],[No of Products in one Sale]])-Table3[[#This Row],[Discount]]</f>
        <v>779.41556236888573</v>
      </c>
    </row>
    <row r="286" spans="1:10" x14ac:dyDescent="0.3">
      <c r="A286" t="s">
        <v>309</v>
      </c>
      <c r="B286" t="s">
        <v>55</v>
      </c>
      <c r="C286" s="1">
        <v>44747</v>
      </c>
      <c r="D286" t="s">
        <v>59</v>
      </c>
      <c r="E286" t="s">
        <v>66</v>
      </c>
      <c r="F286">
        <v>72</v>
      </c>
      <c r="G286" t="s">
        <v>2</v>
      </c>
      <c r="H286" s="2">
        <v>11</v>
      </c>
      <c r="I286" s="3">
        <v>0.20269838427382159</v>
      </c>
      <c r="J286" s="4">
        <f>(Table3[[#This Row],[Price of One Product]]*Table3[[#This Row],[No of Products in one Sale]])-Table3[[#This Row],[Discount]]</f>
        <v>791.79730161572616</v>
      </c>
    </row>
    <row r="287" spans="1:10" x14ac:dyDescent="0.3">
      <c r="A287" t="s">
        <v>310</v>
      </c>
      <c r="B287" t="s">
        <v>51</v>
      </c>
      <c r="C287" s="1">
        <v>44764</v>
      </c>
      <c r="D287" t="s">
        <v>60</v>
      </c>
      <c r="E287" t="s">
        <v>67</v>
      </c>
      <c r="F287">
        <v>65</v>
      </c>
      <c r="G287" t="s">
        <v>0</v>
      </c>
      <c r="H287" s="2">
        <v>5</v>
      </c>
      <c r="I287" s="3">
        <v>0.34588473967990274</v>
      </c>
      <c r="J287" s="4">
        <f>(Table3[[#This Row],[Price of One Product]]*Table3[[#This Row],[No of Products in one Sale]])-Table3[[#This Row],[Discount]]</f>
        <v>324.65411526032011</v>
      </c>
    </row>
    <row r="288" spans="1:10" x14ac:dyDescent="0.3">
      <c r="A288" t="s">
        <v>311</v>
      </c>
      <c r="B288" t="s">
        <v>52</v>
      </c>
      <c r="C288" s="1">
        <v>44735</v>
      </c>
      <c r="D288" t="s">
        <v>61</v>
      </c>
      <c r="E288" t="s">
        <v>66</v>
      </c>
      <c r="F288">
        <v>250</v>
      </c>
      <c r="G288" t="s">
        <v>1</v>
      </c>
      <c r="H288" s="2">
        <v>3</v>
      </c>
      <c r="I288" s="3">
        <v>0.44863071332488991</v>
      </c>
      <c r="J288" s="4">
        <f>(Table3[[#This Row],[Price of One Product]]*Table3[[#This Row],[No of Products in one Sale]])-Table3[[#This Row],[Discount]]</f>
        <v>749.55136928667514</v>
      </c>
    </row>
    <row r="289" spans="1:10" x14ac:dyDescent="0.3">
      <c r="A289" t="s">
        <v>312</v>
      </c>
      <c r="B289" t="s">
        <v>53</v>
      </c>
      <c r="C289" s="1">
        <v>44737</v>
      </c>
      <c r="D289" t="s">
        <v>62</v>
      </c>
      <c r="E289" t="s">
        <v>67</v>
      </c>
      <c r="F289">
        <v>130</v>
      </c>
      <c r="G289" t="s">
        <v>2</v>
      </c>
      <c r="H289" s="2">
        <v>2</v>
      </c>
      <c r="I289" s="3">
        <v>0.41195662281860623</v>
      </c>
      <c r="J289" s="4">
        <f>(Table3[[#This Row],[Price of One Product]]*Table3[[#This Row],[No of Products in one Sale]])-Table3[[#This Row],[Discount]]</f>
        <v>259.58804337718141</v>
      </c>
    </row>
    <row r="290" spans="1:10" x14ac:dyDescent="0.3">
      <c r="A290" t="s">
        <v>313</v>
      </c>
      <c r="B290" t="s">
        <v>54</v>
      </c>
      <c r="C290" s="1">
        <v>44749</v>
      </c>
      <c r="D290" t="s">
        <v>59</v>
      </c>
      <c r="E290" t="s">
        <v>66</v>
      </c>
      <c r="F290">
        <v>72</v>
      </c>
      <c r="G290" t="s">
        <v>0</v>
      </c>
      <c r="H290" s="2">
        <v>10</v>
      </c>
      <c r="I290" s="3">
        <v>0.78611978286567918</v>
      </c>
      <c r="J290" s="4">
        <f>(Table3[[#This Row],[Price of One Product]]*Table3[[#This Row],[No of Products in one Sale]])-Table3[[#This Row],[Discount]]</f>
        <v>719.21388021713437</v>
      </c>
    </row>
    <row r="291" spans="1:10" x14ac:dyDescent="0.3">
      <c r="A291" t="s">
        <v>314</v>
      </c>
      <c r="B291" t="s">
        <v>51</v>
      </c>
      <c r="C291" s="1">
        <v>44729</v>
      </c>
      <c r="D291" t="s">
        <v>60</v>
      </c>
      <c r="E291" t="s">
        <v>67</v>
      </c>
      <c r="F291">
        <v>65</v>
      </c>
      <c r="G291" t="s">
        <v>1</v>
      </c>
      <c r="H291" s="2">
        <v>12</v>
      </c>
      <c r="I291" s="3">
        <v>0.82093526112515247</v>
      </c>
      <c r="J291" s="4">
        <f>(Table3[[#This Row],[Price of One Product]]*Table3[[#This Row],[No of Products in one Sale]])-Table3[[#This Row],[Discount]]</f>
        <v>779.1790647388749</v>
      </c>
    </row>
    <row r="292" spans="1:10" x14ac:dyDescent="0.3">
      <c r="A292" t="s">
        <v>315</v>
      </c>
      <c r="B292" t="s">
        <v>52</v>
      </c>
      <c r="C292" s="1">
        <v>44738</v>
      </c>
      <c r="D292" t="s">
        <v>61</v>
      </c>
      <c r="E292" t="s">
        <v>66</v>
      </c>
      <c r="F292">
        <v>250</v>
      </c>
      <c r="G292" t="s">
        <v>2</v>
      </c>
      <c r="H292" s="2">
        <v>3</v>
      </c>
      <c r="I292" s="3">
        <v>0.5655055849614361</v>
      </c>
      <c r="J292" s="4">
        <f>(Table3[[#This Row],[Price of One Product]]*Table3[[#This Row],[No of Products in one Sale]])-Table3[[#This Row],[Discount]]</f>
        <v>749.43449441503856</v>
      </c>
    </row>
    <row r="293" spans="1:10" x14ac:dyDescent="0.3">
      <c r="A293" t="s">
        <v>316</v>
      </c>
      <c r="B293" t="s">
        <v>53</v>
      </c>
      <c r="C293" s="1">
        <v>44740</v>
      </c>
      <c r="D293" t="s">
        <v>62</v>
      </c>
      <c r="E293" t="s">
        <v>67</v>
      </c>
      <c r="F293">
        <v>130</v>
      </c>
      <c r="G293" t="s">
        <v>0</v>
      </c>
      <c r="H293" s="2">
        <v>4</v>
      </c>
      <c r="I293" s="3">
        <v>0.48001599413027629</v>
      </c>
      <c r="J293" s="4">
        <f>(Table3[[#This Row],[Price of One Product]]*Table3[[#This Row],[No of Products in one Sale]])-Table3[[#This Row],[Discount]]</f>
        <v>519.51998400586967</v>
      </c>
    </row>
    <row r="294" spans="1:10" x14ac:dyDescent="0.3">
      <c r="A294" t="s">
        <v>317</v>
      </c>
      <c r="B294" t="s">
        <v>54</v>
      </c>
      <c r="C294" s="1">
        <v>44755</v>
      </c>
      <c r="D294" t="s">
        <v>63</v>
      </c>
      <c r="E294" t="s">
        <v>66</v>
      </c>
      <c r="F294">
        <v>60</v>
      </c>
      <c r="G294" t="s">
        <v>1</v>
      </c>
      <c r="H294" s="2">
        <v>9</v>
      </c>
      <c r="I294" s="3">
        <v>0.80703544305681518</v>
      </c>
      <c r="J294" s="4">
        <f>(Table3[[#This Row],[Price of One Product]]*Table3[[#This Row],[No of Products in one Sale]])-Table3[[#This Row],[Discount]]</f>
        <v>539.19296455694314</v>
      </c>
    </row>
    <row r="295" spans="1:10" x14ac:dyDescent="0.3">
      <c r="A295" t="s">
        <v>318</v>
      </c>
      <c r="B295" t="s">
        <v>55</v>
      </c>
      <c r="C295" s="1">
        <v>44755</v>
      </c>
      <c r="D295" t="s">
        <v>64</v>
      </c>
      <c r="E295" t="s">
        <v>67</v>
      </c>
      <c r="F295">
        <v>95</v>
      </c>
      <c r="G295" t="s">
        <v>2</v>
      </c>
      <c r="H295" s="2">
        <v>6</v>
      </c>
      <c r="I295" s="3">
        <v>0.13472953271650978</v>
      </c>
      <c r="J295" s="4">
        <f>(Table3[[#This Row],[Price of One Product]]*Table3[[#This Row],[No of Products in one Sale]])-Table3[[#This Row],[Discount]]</f>
        <v>569.86527046728349</v>
      </c>
    </row>
    <row r="296" spans="1:10" x14ac:dyDescent="0.3">
      <c r="A296" t="s">
        <v>319</v>
      </c>
      <c r="B296" t="s">
        <v>56</v>
      </c>
      <c r="C296" s="1">
        <v>44764</v>
      </c>
      <c r="D296" t="s">
        <v>59</v>
      </c>
      <c r="E296" t="s">
        <v>66</v>
      </c>
      <c r="F296">
        <v>72</v>
      </c>
      <c r="G296" t="s">
        <v>0</v>
      </c>
      <c r="H296" s="2">
        <v>9</v>
      </c>
      <c r="I296" s="3">
        <v>0.53735244514022174</v>
      </c>
      <c r="J296" s="4">
        <f>(Table3[[#This Row],[Price of One Product]]*Table3[[#This Row],[No of Products in one Sale]])-Table3[[#This Row],[Discount]]</f>
        <v>647.46264755485981</v>
      </c>
    </row>
    <row r="297" spans="1:10" x14ac:dyDescent="0.3">
      <c r="A297" t="s">
        <v>320</v>
      </c>
      <c r="B297" t="s">
        <v>51</v>
      </c>
      <c r="C297" s="1">
        <v>44735</v>
      </c>
      <c r="D297" t="s">
        <v>60</v>
      </c>
      <c r="E297" t="s">
        <v>67</v>
      </c>
      <c r="F297">
        <v>65</v>
      </c>
      <c r="G297" t="s">
        <v>1</v>
      </c>
      <c r="H297" s="2">
        <v>10</v>
      </c>
      <c r="I297" s="3">
        <v>0.86493253723020291</v>
      </c>
      <c r="J297" s="4">
        <f>(Table3[[#This Row],[Price of One Product]]*Table3[[#This Row],[No of Products in one Sale]])-Table3[[#This Row],[Discount]]</f>
        <v>649.13506746276983</v>
      </c>
    </row>
    <row r="298" spans="1:10" x14ac:dyDescent="0.3">
      <c r="A298" t="s">
        <v>321</v>
      </c>
      <c r="B298" t="s">
        <v>52</v>
      </c>
      <c r="C298" s="1">
        <v>44734</v>
      </c>
      <c r="D298" t="s">
        <v>61</v>
      </c>
      <c r="E298" t="s">
        <v>66</v>
      </c>
      <c r="F298">
        <v>250</v>
      </c>
      <c r="G298" t="s">
        <v>2</v>
      </c>
      <c r="H298" s="2">
        <v>2</v>
      </c>
      <c r="I298" s="3">
        <v>0.14635193252367351</v>
      </c>
      <c r="J298" s="4">
        <f>(Table3[[#This Row],[Price of One Product]]*Table3[[#This Row],[No of Products in one Sale]])-Table3[[#This Row],[Discount]]</f>
        <v>499.85364806747634</v>
      </c>
    </row>
    <row r="299" spans="1:10" x14ac:dyDescent="0.3">
      <c r="A299" t="s">
        <v>322</v>
      </c>
      <c r="B299" t="s">
        <v>53</v>
      </c>
      <c r="C299" s="1">
        <v>44728</v>
      </c>
      <c r="D299" t="s">
        <v>62</v>
      </c>
      <c r="E299" t="s">
        <v>67</v>
      </c>
      <c r="F299">
        <v>130</v>
      </c>
      <c r="G299" t="s">
        <v>0</v>
      </c>
      <c r="H299" s="2">
        <v>5</v>
      </c>
      <c r="I299" s="3">
        <v>0.49930216593502397</v>
      </c>
      <c r="J299" s="4">
        <f>(Table3[[#This Row],[Price of One Product]]*Table3[[#This Row],[No of Products in one Sale]])-Table3[[#This Row],[Discount]]</f>
        <v>649.50069783406502</v>
      </c>
    </row>
    <row r="300" spans="1:10" x14ac:dyDescent="0.3">
      <c r="A300" t="s">
        <v>323</v>
      </c>
      <c r="B300" t="s">
        <v>54</v>
      </c>
      <c r="C300" s="1">
        <v>44739</v>
      </c>
      <c r="D300" t="s">
        <v>59</v>
      </c>
      <c r="E300" t="s">
        <v>66</v>
      </c>
      <c r="F300">
        <v>72</v>
      </c>
      <c r="G300" t="s">
        <v>1</v>
      </c>
      <c r="H300" s="2">
        <v>4</v>
      </c>
      <c r="I300" s="3">
        <v>0.16760369217058779</v>
      </c>
      <c r="J300" s="4">
        <f>(Table3[[#This Row],[Price of One Product]]*Table3[[#This Row],[No of Products in one Sale]])-Table3[[#This Row],[Discount]]</f>
        <v>287.83239630782941</v>
      </c>
    </row>
    <row r="301" spans="1:10" x14ac:dyDescent="0.3">
      <c r="A301" t="s">
        <v>324</v>
      </c>
      <c r="B301" t="s">
        <v>51</v>
      </c>
      <c r="C301" s="1">
        <v>44765</v>
      </c>
      <c r="D301" t="s">
        <v>60</v>
      </c>
      <c r="E301" t="s">
        <v>67</v>
      </c>
      <c r="F301">
        <v>65</v>
      </c>
      <c r="G301" t="s">
        <v>2</v>
      </c>
      <c r="H301" s="2">
        <v>13</v>
      </c>
      <c r="I301" s="3">
        <v>0.57040391639924315</v>
      </c>
      <c r="J301" s="4">
        <f>(Table3[[#This Row],[Price of One Product]]*Table3[[#This Row],[No of Products in one Sale]])-Table3[[#This Row],[Discount]]</f>
        <v>844.42959608360081</v>
      </c>
    </row>
    <row r="302" spans="1:10" x14ac:dyDescent="0.3">
      <c r="A302" t="s">
        <v>325</v>
      </c>
      <c r="B302" t="s">
        <v>52</v>
      </c>
      <c r="C302" s="1">
        <v>44740</v>
      </c>
      <c r="D302" t="s">
        <v>61</v>
      </c>
      <c r="E302" t="s">
        <v>67</v>
      </c>
      <c r="F302">
        <v>250</v>
      </c>
      <c r="G302" t="s">
        <v>0</v>
      </c>
      <c r="H302" s="2">
        <v>2</v>
      </c>
      <c r="I302" s="3">
        <v>0.35240472893682595</v>
      </c>
      <c r="J302" s="4">
        <f>(Table3[[#This Row],[Price of One Product]]*Table3[[#This Row],[No of Products in one Sale]])-Table3[[#This Row],[Discount]]</f>
        <v>499.64759527106315</v>
      </c>
    </row>
    <row r="303" spans="1:10" x14ac:dyDescent="0.3">
      <c r="A303" t="s">
        <v>326</v>
      </c>
      <c r="B303" t="s">
        <v>53</v>
      </c>
      <c r="C303" s="1">
        <v>44734</v>
      </c>
      <c r="D303" t="s">
        <v>62</v>
      </c>
      <c r="E303" t="s">
        <v>67</v>
      </c>
      <c r="F303">
        <v>130</v>
      </c>
      <c r="G303" t="s">
        <v>1</v>
      </c>
      <c r="H303" s="2">
        <v>3</v>
      </c>
      <c r="I303" s="3">
        <v>0.11208092156242278</v>
      </c>
      <c r="J303" s="4">
        <f>(Table3[[#This Row],[Price of One Product]]*Table3[[#This Row],[No of Products in one Sale]])-Table3[[#This Row],[Discount]]</f>
        <v>389.88791907843756</v>
      </c>
    </row>
    <row r="304" spans="1:10" x14ac:dyDescent="0.3">
      <c r="A304" t="s">
        <v>327</v>
      </c>
      <c r="B304" t="s">
        <v>54</v>
      </c>
      <c r="C304" s="1">
        <v>44727</v>
      </c>
      <c r="D304" t="s">
        <v>63</v>
      </c>
      <c r="E304" t="s">
        <v>67</v>
      </c>
      <c r="F304">
        <v>60</v>
      </c>
      <c r="G304" t="s">
        <v>2</v>
      </c>
      <c r="H304" s="2">
        <v>10</v>
      </c>
      <c r="I304" s="3">
        <v>0.57839134647100132</v>
      </c>
      <c r="J304" s="4">
        <f>(Table3[[#This Row],[Price of One Product]]*Table3[[#This Row],[No of Products in one Sale]])-Table3[[#This Row],[Discount]]</f>
        <v>599.42160865352901</v>
      </c>
    </row>
    <row r="305" spans="1:10" x14ac:dyDescent="0.3">
      <c r="A305" t="s">
        <v>328</v>
      </c>
      <c r="B305" t="s">
        <v>55</v>
      </c>
      <c r="C305" s="1">
        <v>44737</v>
      </c>
      <c r="D305" t="s">
        <v>59</v>
      </c>
      <c r="E305" t="s">
        <v>67</v>
      </c>
      <c r="F305">
        <v>72</v>
      </c>
      <c r="G305" t="s">
        <v>0</v>
      </c>
      <c r="H305" s="2">
        <v>9</v>
      </c>
      <c r="I305" s="3">
        <v>0.18785567306752626</v>
      </c>
      <c r="J305" s="4">
        <f>(Table3[[#This Row],[Price of One Product]]*Table3[[#This Row],[No of Products in one Sale]])-Table3[[#This Row],[Discount]]</f>
        <v>647.81214432693253</v>
      </c>
    </row>
    <row r="306" spans="1:10" x14ac:dyDescent="0.3">
      <c r="A306" t="s">
        <v>329</v>
      </c>
      <c r="B306" t="s">
        <v>51</v>
      </c>
      <c r="C306" s="1">
        <v>44747</v>
      </c>
      <c r="D306" t="s">
        <v>60</v>
      </c>
      <c r="E306" t="s">
        <v>66</v>
      </c>
      <c r="F306">
        <v>65</v>
      </c>
      <c r="G306" t="s">
        <v>1</v>
      </c>
      <c r="H306" s="2">
        <v>8</v>
      </c>
      <c r="I306" s="3">
        <v>0.69234786906479862</v>
      </c>
      <c r="J306" s="4">
        <f>(Table3[[#This Row],[Price of One Product]]*Table3[[#This Row],[No of Products in one Sale]])-Table3[[#This Row],[Discount]]</f>
        <v>519.30765213093525</v>
      </c>
    </row>
    <row r="307" spans="1:10" x14ac:dyDescent="0.3">
      <c r="A307" t="s">
        <v>330</v>
      </c>
      <c r="B307" t="s">
        <v>52</v>
      </c>
      <c r="C307" s="1">
        <v>44754</v>
      </c>
      <c r="D307" t="s">
        <v>61</v>
      </c>
      <c r="E307" t="s">
        <v>67</v>
      </c>
      <c r="F307">
        <v>250</v>
      </c>
      <c r="G307" t="s">
        <v>2</v>
      </c>
      <c r="H307" s="2">
        <v>3</v>
      </c>
      <c r="I307" s="3">
        <v>0.7313105471637672</v>
      </c>
      <c r="J307" s="4">
        <f>(Table3[[#This Row],[Price of One Product]]*Table3[[#This Row],[No of Products in one Sale]])-Table3[[#This Row],[Discount]]</f>
        <v>749.26868945283627</v>
      </c>
    </row>
    <row r="308" spans="1:10" x14ac:dyDescent="0.3">
      <c r="A308" t="s">
        <v>331</v>
      </c>
      <c r="B308" t="s">
        <v>53</v>
      </c>
      <c r="C308" s="1">
        <v>44760</v>
      </c>
      <c r="D308" t="s">
        <v>62</v>
      </c>
      <c r="E308" t="s">
        <v>66</v>
      </c>
      <c r="F308">
        <v>130</v>
      </c>
      <c r="G308" t="s">
        <v>0</v>
      </c>
      <c r="H308" s="2">
        <v>3</v>
      </c>
      <c r="I308" s="3">
        <v>0.39651294953245186</v>
      </c>
      <c r="J308" s="4">
        <f>(Table3[[#This Row],[Price of One Product]]*Table3[[#This Row],[No of Products in one Sale]])-Table3[[#This Row],[Discount]]</f>
        <v>389.60348705046755</v>
      </c>
    </row>
    <row r="309" spans="1:10" x14ac:dyDescent="0.3">
      <c r="A309" t="s">
        <v>332</v>
      </c>
      <c r="B309" t="s">
        <v>54</v>
      </c>
      <c r="C309" s="1">
        <v>44759</v>
      </c>
      <c r="D309" t="s">
        <v>59</v>
      </c>
      <c r="E309" t="s">
        <v>67</v>
      </c>
      <c r="F309">
        <v>72</v>
      </c>
      <c r="G309" t="s">
        <v>1</v>
      </c>
      <c r="H309" s="2">
        <v>5</v>
      </c>
      <c r="I309" s="3">
        <v>0.47053293956185105</v>
      </c>
      <c r="J309" s="4">
        <f>(Table3[[#This Row],[Price of One Product]]*Table3[[#This Row],[No of Products in one Sale]])-Table3[[#This Row],[Discount]]</f>
        <v>359.52946706043815</v>
      </c>
    </row>
    <row r="310" spans="1:10" x14ac:dyDescent="0.3">
      <c r="A310" t="s">
        <v>333</v>
      </c>
      <c r="B310" t="s">
        <v>51</v>
      </c>
      <c r="C310" s="1">
        <v>44735</v>
      </c>
      <c r="D310" t="s">
        <v>60</v>
      </c>
      <c r="E310" t="s">
        <v>66</v>
      </c>
      <c r="F310">
        <v>65</v>
      </c>
      <c r="G310" t="s">
        <v>2</v>
      </c>
      <c r="H310" s="2">
        <v>9</v>
      </c>
      <c r="I310" s="3">
        <v>0.9022424845836422</v>
      </c>
      <c r="J310" s="4">
        <f>(Table3[[#This Row],[Price of One Product]]*Table3[[#This Row],[No of Products in one Sale]])-Table3[[#This Row],[Discount]]</f>
        <v>584.09775751541633</v>
      </c>
    </row>
    <row r="311" spans="1:10" x14ac:dyDescent="0.3">
      <c r="A311" t="s">
        <v>334</v>
      </c>
      <c r="B311" t="s">
        <v>52</v>
      </c>
      <c r="C311" s="1">
        <v>44734</v>
      </c>
      <c r="D311" t="s">
        <v>61</v>
      </c>
      <c r="E311" t="s">
        <v>67</v>
      </c>
      <c r="F311">
        <v>250</v>
      </c>
      <c r="G311" t="s">
        <v>0</v>
      </c>
      <c r="H311" s="2">
        <v>1</v>
      </c>
      <c r="I311" s="3">
        <v>0.25057968884738369</v>
      </c>
      <c r="J311" s="4">
        <f>(Table3[[#This Row],[Price of One Product]]*Table3[[#This Row],[No of Products in one Sale]])-Table3[[#This Row],[Discount]]</f>
        <v>249.74942031115262</v>
      </c>
    </row>
    <row r="312" spans="1:10" x14ac:dyDescent="0.3">
      <c r="A312" t="s">
        <v>335</v>
      </c>
      <c r="B312" t="s">
        <v>53</v>
      </c>
      <c r="C312" s="1">
        <v>44753</v>
      </c>
      <c r="D312" t="s">
        <v>62</v>
      </c>
      <c r="E312" t="s">
        <v>66</v>
      </c>
      <c r="F312">
        <v>130</v>
      </c>
      <c r="G312" t="s">
        <v>1</v>
      </c>
      <c r="H312" s="2">
        <v>4</v>
      </c>
      <c r="I312" s="3">
        <v>0.56892266919679113</v>
      </c>
      <c r="J312" s="4">
        <f>(Table3[[#This Row],[Price of One Product]]*Table3[[#This Row],[No of Products in one Sale]])-Table3[[#This Row],[Discount]]</f>
        <v>519.43107733080319</v>
      </c>
    </row>
    <row r="313" spans="1:10" x14ac:dyDescent="0.3">
      <c r="A313" t="s">
        <v>336</v>
      </c>
      <c r="B313" t="s">
        <v>54</v>
      </c>
      <c r="C313" s="1">
        <v>44739</v>
      </c>
      <c r="D313" t="s">
        <v>63</v>
      </c>
      <c r="E313" t="s">
        <v>67</v>
      </c>
      <c r="F313">
        <v>60</v>
      </c>
      <c r="G313" t="s">
        <v>2</v>
      </c>
      <c r="H313" s="2">
        <v>6</v>
      </c>
      <c r="I313" s="3">
        <v>3.357106137416721E-2</v>
      </c>
      <c r="J313" s="4">
        <f>(Table3[[#This Row],[Price of One Product]]*Table3[[#This Row],[No of Products in one Sale]])-Table3[[#This Row],[Discount]]</f>
        <v>359.96642893862582</v>
      </c>
    </row>
    <row r="314" spans="1:10" x14ac:dyDescent="0.3">
      <c r="A314" t="s">
        <v>337</v>
      </c>
      <c r="B314" t="s">
        <v>55</v>
      </c>
      <c r="C314" s="1">
        <v>44740</v>
      </c>
      <c r="D314" t="s">
        <v>64</v>
      </c>
      <c r="E314" t="s">
        <v>66</v>
      </c>
      <c r="F314">
        <v>95</v>
      </c>
      <c r="G314" t="s">
        <v>0</v>
      </c>
      <c r="H314" s="2">
        <v>4</v>
      </c>
      <c r="I314" s="3">
        <v>0.11797039324964398</v>
      </c>
      <c r="J314" s="4">
        <f>(Table3[[#This Row],[Price of One Product]]*Table3[[#This Row],[No of Products in one Sale]])-Table3[[#This Row],[Discount]]</f>
        <v>379.88202960675034</v>
      </c>
    </row>
    <row r="315" spans="1:10" x14ac:dyDescent="0.3">
      <c r="A315" t="s">
        <v>338</v>
      </c>
      <c r="B315" t="s">
        <v>56</v>
      </c>
      <c r="C315" s="1">
        <v>44748</v>
      </c>
      <c r="D315" t="s">
        <v>59</v>
      </c>
      <c r="E315" t="s">
        <v>67</v>
      </c>
      <c r="F315">
        <v>72</v>
      </c>
      <c r="G315" t="s">
        <v>1</v>
      </c>
      <c r="H315" s="2">
        <v>8</v>
      </c>
      <c r="I315" s="3">
        <v>2.8176385964748696E-2</v>
      </c>
      <c r="J315" s="4">
        <f>(Table3[[#This Row],[Price of One Product]]*Table3[[#This Row],[No of Products in one Sale]])-Table3[[#This Row],[Discount]]</f>
        <v>575.9718236140352</v>
      </c>
    </row>
    <row r="316" spans="1:10" x14ac:dyDescent="0.3">
      <c r="A316" t="s">
        <v>339</v>
      </c>
      <c r="B316" t="s">
        <v>51</v>
      </c>
      <c r="C316" s="1">
        <v>44731</v>
      </c>
      <c r="D316" t="s">
        <v>60</v>
      </c>
      <c r="E316" t="s">
        <v>66</v>
      </c>
      <c r="F316">
        <v>65</v>
      </c>
      <c r="G316" t="s">
        <v>2</v>
      </c>
      <c r="H316" s="2">
        <v>8</v>
      </c>
      <c r="I316" s="3">
        <v>0.66941136725758887</v>
      </c>
      <c r="J316" s="4">
        <f>(Table3[[#This Row],[Price of One Product]]*Table3[[#This Row],[No of Products in one Sale]])-Table3[[#This Row],[Discount]]</f>
        <v>519.33058863274243</v>
      </c>
    </row>
    <row r="317" spans="1:10" x14ac:dyDescent="0.3">
      <c r="A317" t="s">
        <v>340</v>
      </c>
      <c r="B317" t="s">
        <v>52</v>
      </c>
      <c r="C317" s="1">
        <v>44763</v>
      </c>
      <c r="D317" t="s">
        <v>61</v>
      </c>
      <c r="E317" t="s">
        <v>67</v>
      </c>
      <c r="F317">
        <v>250</v>
      </c>
      <c r="G317" t="s">
        <v>0</v>
      </c>
      <c r="H317" s="2">
        <v>2</v>
      </c>
      <c r="I317" s="3">
        <v>0.36448172495541775</v>
      </c>
      <c r="J317" s="4">
        <f>(Table3[[#This Row],[Price of One Product]]*Table3[[#This Row],[No of Products in one Sale]])-Table3[[#This Row],[Discount]]</f>
        <v>499.6355182750446</v>
      </c>
    </row>
    <row r="318" spans="1:10" x14ac:dyDescent="0.3">
      <c r="A318" t="s">
        <v>341</v>
      </c>
      <c r="B318" t="s">
        <v>53</v>
      </c>
      <c r="C318" s="1">
        <v>44733</v>
      </c>
      <c r="D318" t="s">
        <v>62</v>
      </c>
      <c r="E318" t="s">
        <v>66</v>
      </c>
      <c r="F318">
        <v>130</v>
      </c>
      <c r="G318" t="s">
        <v>1</v>
      </c>
      <c r="H318" s="2">
        <v>7</v>
      </c>
      <c r="I318" s="3">
        <v>0.15416488306079768</v>
      </c>
      <c r="J318" s="4">
        <f>(Table3[[#This Row],[Price of One Product]]*Table3[[#This Row],[No of Products in one Sale]])-Table3[[#This Row],[Discount]]</f>
        <v>909.84583511693916</v>
      </c>
    </row>
    <row r="319" spans="1:10" x14ac:dyDescent="0.3">
      <c r="A319" t="s">
        <v>342</v>
      </c>
      <c r="B319" t="s">
        <v>54</v>
      </c>
      <c r="C319" s="1">
        <v>44746</v>
      </c>
      <c r="D319" t="s">
        <v>59</v>
      </c>
      <c r="E319" t="s">
        <v>67</v>
      </c>
      <c r="F319">
        <v>72</v>
      </c>
      <c r="G319" t="s">
        <v>2</v>
      </c>
      <c r="H319" s="2">
        <v>7</v>
      </c>
      <c r="I319" s="3">
        <v>0.66646609625242947</v>
      </c>
      <c r="J319" s="4">
        <f>(Table3[[#This Row],[Price of One Product]]*Table3[[#This Row],[No of Products in one Sale]])-Table3[[#This Row],[Discount]]</f>
        <v>503.33353390374759</v>
      </c>
    </row>
    <row r="320" spans="1:10" x14ac:dyDescent="0.3">
      <c r="A320" t="s">
        <v>343</v>
      </c>
      <c r="B320" t="s">
        <v>51</v>
      </c>
      <c r="C320" s="1">
        <v>44755</v>
      </c>
      <c r="D320" t="s">
        <v>60</v>
      </c>
      <c r="E320" t="s">
        <v>66</v>
      </c>
      <c r="F320">
        <v>65</v>
      </c>
      <c r="G320" t="s">
        <v>0</v>
      </c>
      <c r="H320" s="2">
        <v>4</v>
      </c>
      <c r="I320" s="3">
        <v>0.69183752034253276</v>
      </c>
      <c r="J320" s="4">
        <f>(Table3[[#This Row],[Price of One Product]]*Table3[[#This Row],[No of Products in one Sale]])-Table3[[#This Row],[Discount]]</f>
        <v>259.30816247965748</v>
      </c>
    </row>
    <row r="321" spans="1:10" x14ac:dyDescent="0.3">
      <c r="A321" t="s">
        <v>344</v>
      </c>
      <c r="B321" t="s">
        <v>52</v>
      </c>
      <c r="C321" s="1">
        <v>44755</v>
      </c>
      <c r="D321" t="s">
        <v>61</v>
      </c>
      <c r="E321" t="s">
        <v>67</v>
      </c>
      <c r="F321">
        <v>250</v>
      </c>
      <c r="G321" t="s">
        <v>1</v>
      </c>
      <c r="H321" s="2">
        <v>2</v>
      </c>
      <c r="I321" s="3">
        <v>0.14649599591234685</v>
      </c>
      <c r="J321" s="4">
        <f>(Table3[[#This Row],[Price of One Product]]*Table3[[#This Row],[No of Products in one Sale]])-Table3[[#This Row],[Discount]]</f>
        <v>499.85350400408765</v>
      </c>
    </row>
    <row r="322" spans="1:10" x14ac:dyDescent="0.3">
      <c r="A322" t="s">
        <v>345</v>
      </c>
      <c r="B322" t="s">
        <v>53</v>
      </c>
      <c r="C322" s="1">
        <v>44727</v>
      </c>
      <c r="D322" t="s">
        <v>62</v>
      </c>
      <c r="E322" t="s">
        <v>66</v>
      </c>
      <c r="F322">
        <v>130</v>
      </c>
      <c r="G322" t="s">
        <v>2</v>
      </c>
      <c r="H322" s="2">
        <v>2</v>
      </c>
      <c r="I322" s="3">
        <v>0.98540635482364014</v>
      </c>
      <c r="J322" s="4">
        <f>(Table3[[#This Row],[Price of One Product]]*Table3[[#This Row],[No of Products in one Sale]])-Table3[[#This Row],[Discount]]</f>
        <v>259.01459364517638</v>
      </c>
    </row>
    <row r="323" spans="1:10" x14ac:dyDescent="0.3">
      <c r="A323" t="s">
        <v>346</v>
      </c>
      <c r="B323" t="s">
        <v>54</v>
      </c>
      <c r="C323" s="1">
        <v>44746</v>
      </c>
      <c r="D323" t="s">
        <v>59</v>
      </c>
      <c r="E323" t="s">
        <v>67</v>
      </c>
      <c r="F323">
        <v>72</v>
      </c>
      <c r="G323" t="s">
        <v>0</v>
      </c>
      <c r="H323" s="2">
        <v>9</v>
      </c>
      <c r="I323" s="3">
        <v>0.32091320735788698</v>
      </c>
      <c r="J323" s="4">
        <f>(Table3[[#This Row],[Price of One Product]]*Table3[[#This Row],[No of Products in one Sale]])-Table3[[#This Row],[Discount]]</f>
        <v>647.67908679264212</v>
      </c>
    </row>
    <row r="324" spans="1:10" x14ac:dyDescent="0.3">
      <c r="A324" t="s">
        <v>347</v>
      </c>
      <c r="B324" t="s">
        <v>51</v>
      </c>
      <c r="C324" s="1">
        <v>44740</v>
      </c>
      <c r="D324" t="s">
        <v>60</v>
      </c>
      <c r="E324" t="s">
        <v>67</v>
      </c>
      <c r="F324">
        <v>65</v>
      </c>
      <c r="G324" t="s">
        <v>0</v>
      </c>
      <c r="H324" s="2">
        <v>9</v>
      </c>
      <c r="I324" s="3">
        <v>0.94495394109275654</v>
      </c>
      <c r="J324" s="4">
        <f>(Table3[[#This Row],[Price of One Product]]*Table3[[#This Row],[No of Products in one Sale]])-Table3[[#This Row],[Discount]]</f>
        <v>584.05504605890724</v>
      </c>
    </row>
    <row r="325" spans="1:10" x14ac:dyDescent="0.3">
      <c r="A325" t="s">
        <v>348</v>
      </c>
      <c r="B325" t="s">
        <v>52</v>
      </c>
      <c r="C325" s="1">
        <v>44743</v>
      </c>
      <c r="D325" t="s">
        <v>61</v>
      </c>
      <c r="E325" t="s">
        <v>67</v>
      </c>
      <c r="F325">
        <v>250</v>
      </c>
      <c r="G325" t="s">
        <v>1</v>
      </c>
      <c r="H325" s="2">
        <v>2</v>
      </c>
      <c r="I325" s="3">
        <v>0.50906748027199666</v>
      </c>
      <c r="J325" s="4">
        <f>(Table3[[#This Row],[Price of One Product]]*Table3[[#This Row],[No of Products in one Sale]])-Table3[[#This Row],[Discount]]</f>
        <v>499.49093251972801</v>
      </c>
    </row>
    <row r="326" spans="1:10" x14ac:dyDescent="0.3">
      <c r="A326" t="s">
        <v>349</v>
      </c>
      <c r="B326" t="s">
        <v>53</v>
      </c>
      <c r="C326" s="1">
        <v>44737</v>
      </c>
      <c r="D326" t="s">
        <v>62</v>
      </c>
      <c r="E326" t="s">
        <v>67</v>
      </c>
      <c r="F326">
        <v>130</v>
      </c>
      <c r="G326" t="s">
        <v>2</v>
      </c>
      <c r="H326" s="2">
        <v>4</v>
      </c>
      <c r="I326" s="3">
        <v>0.66059053266706258</v>
      </c>
      <c r="J326" s="4">
        <f>(Table3[[#This Row],[Price of One Product]]*Table3[[#This Row],[No of Products in one Sale]])-Table3[[#This Row],[Discount]]</f>
        <v>519.33940946733298</v>
      </c>
    </row>
    <row r="327" spans="1:10" x14ac:dyDescent="0.3">
      <c r="A327" t="s">
        <v>350</v>
      </c>
      <c r="B327" t="s">
        <v>54</v>
      </c>
      <c r="C327" s="1">
        <v>44757</v>
      </c>
      <c r="D327" t="s">
        <v>59</v>
      </c>
      <c r="E327" t="s">
        <v>67</v>
      </c>
      <c r="F327">
        <v>72</v>
      </c>
      <c r="G327" t="s">
        <v>0</v>
      </c>
      <c r="H327" s="2">
        <v>8</v>
      </c>
      <c r="I327" s="3">
        <v>0.89615601403703116</v>
      </c>
      <c r="J327" s="4">
        <f>(Table3[[#This Row],[Price of One Product]]*Table3[[#This Row],[No of Products in one Sale]])-Table3[[#This Row],[Discount]]</f>
        <v>575.10384398596295</v>
      </c>
    </row>
    <row r="328" spans="1:10" x14ac:dyDescent="0.3">
      <c r="A328" t="s">
        <v>351</v>
      </c>
      <c r="B328" t="s">
        <v>51</v>
      </c>
      <c r="C328" s="1">
        <v>44745</v>
      </c>
      <c r="D328" t="s">
        <v>60</v>
      </c>
      <c r="E328" t="s">
        <v>66</v>
      </c>
      <c r="F328">
        <v>65</v>
      </c>
      <c r="G328" t="s">
        <v>1</v>
      </c>
      <c r="H328" s="2">
        <v>8</v>
      </c>
      <c r="I328" s="3">
        <v>0.133950017527805</v>
      </c>
      <c r="J328" s="4">
        <f>(Table3[[#This Row],[Price of One Product]]*Table3[[#This Row],[No of Products in one Sale]])-Table3[[#This Row],[Discount]]</f>
        <v>519.86604998247219</v>
      </c>
    </row>
    <row r="329" spans="1:10" x14ac:dyDescent="0.3">
      <c r="A329" t="s">
        <v>352</v>
      </c>
      <c r="B329" t="s">
        <v>52</v>
      </c>
      <c r="C329" s="1">
        <v>44760</v>
      </c>
      <c r="D329" t="s">
        <v>61</v>
      </c>
      <c r="E329" t="s">
        <v>67</v>
      </c>
      <c r="F329">
        <v>250</v>
      </c>
      <c r="G329" t="s">
        <v>2</v>
      </c>
      <c r="H329" s="2">
        <v>4</v>
      </c>
      <c r="I329" s="3">
        <v>0.3823797297998468</v>
      </c>
      <c r="J329" s="4">
        <f>(Table3[[#This Row],[Price of One Product]]*Table3[[#This Row],[No of Products in one Sale]])-Table3[[#This Row],[Discount]]</f>
        <v>999.61762027020018</v>
      </c>
    </row>
    <row r="330" spans="1:10" x14ac:dyDescent="0.3">
      <c r="A330" t="s">
        <v>353</v>
      </c>
      <c r="B330" t="s">
        <v>53</v>
      </c>
      <c r="C330" s="1">
        <v>44750</v>
      </c>
      <c r="D330" t="s">
        <v>62</v>
      </c>
      <c r="E330" t="s">
        <v>66</v>
      </c>
      <c r="F330">
        <v>130</v>
      </c>
      <c r="G330" t="s">
        <v>0</v>
      </c>
      <c r="H330" s="2">
        <v>2</v>
      </c>
      <c r="I330" s="3">
        <v>0.15073825601342095</v>
      </c>
      <c r="J330" s="4">
        <f>(Table3[[#This Row],[Price of One Product]]*Table3[[#This Row],[No of Products in one Sale]])-Table3[[#This Row],[Discount]]</f>
        <v>259.84926174398657</v>
      </c>
    </row>
    <row r="331" spans="1:10" x14ac:dyDescent="0.3">
      <c r="A331" t="s">
        <v>354</v>
      </c>
      <c r="B331" t="s">
        <v>54</v>
      </c>
      <c r="C331" s="1">
        <v>44742</v>
      </c>
      <c r="D331" t="s">
        <v>63</v>
      </c>
      <c r="E331" t="s">
        <v>67</v>
      </c>
      <c r="F331">
        <v>60</v>
      </c>
      <c r="G331" t="s">
        <v>1</v>
      </c>
      <c r="H331" s="2">
        <v>10</v>
      </c>
      <c r="I331" s="3">
        <v>0.96395128247903139</v>
      </c>
      <c r="J331" s="4">
        <f>(Table3[[#This Row],[Price of One Product]]*Table3[[#This Row],[No of Products in one Sale]])-Table3[[#This Row],[Discount]]</f>
        <v>599.036048717521</v>
      </c>
    </row>
    <row r="332" spans="1:10" x14ac:dyDescent="0.3">
      <c r="A332" t="s">
        <v>355</v>
      </c>
      <c r="B332" t="s">
        <v>55</v>
      </c>
      <c r="C332" s="1">
        <v>44754</v>
      </c>
      <c r="D332" t="s">
        <v>59</v>
      </c>
      <c r="E332" t="s">
        <v>66</v>
      </c>
      <c r="F332">
        <v>72</v>
      </c>
      <c r="G332" t="s">
        <v>2</v>
      </c>
      <c r="H332" s="2">
        <v>5</v>
      </c>
      <c r="I332" s="3">
        <v>0.93894083705684528</v>
      </c>
      <c r="J332" s="4">
        <f>(Table3[[#This Row],[Price of One Product]]*Table3[[#This Row],[No of Products in one Sale]])-Table3[[#This Row],[Discount]]</f>
        <v>359.06105916294314</v>
      </c>
    </row>
    <row r="333" spans="1:10" x14ac:dyDescent="0.3">
      <c r="A333" t="s">
        <v>356</v>
      </c>
      <c r="B333" t="s">
        <v>51</v>
      </c>
      <c r="C333" s="1">
        <v>44746</v>
      </c>
      <c r="D333" t="s">
        <v>60</v>
      </c>
      <c r="E333" t="s">
        <v>67</v>
      </c>
      <c r="F333">
        <v>65</v>
      </c>
      <c r="G333" t="s">
        <v>0</v>
      </c>
      <c r="H333" s="2">
        <v>7</v>
      </c>
      <c r="I333" s="3">
        <v>0.90335270578489546</v>
      </c>
      <c r="J333" s="4">
        <f>(Table3[[#This Row],[Price of One Product]]*Table3[[#This Row],[No of Products in one Sale]])-Table3[[#This Row],[Discount]]</f>
        <v>454.09664729421513</v>
      </c>
    </row>
    <row r="334" spans="1:10" x14ac:dyDescent="0.3">
      <c r="A334" t="s">
        <v>357</v>
      </c>
      <c r="B334" t="s">
        <v>52</v>
      </c>
      <c r="C334" s="1">
        <v>44752</v>
      </c>
      <c r="D334" t="s">
        <v>61</v>
      </c>
      <c r="E334" t="s">
        <v>66</v>
      </c>
      <c r="F334">
        <v>250</v>
      </c>
      <c r="G334" t="s">
        <v>1</v>
      </c>
      <c r="H334" s="2">
        <v>2</v>
      </c>
      <c r="I334" s="3">
        <v>0.62209777321995885</v>
      </c>
      <c r="J334" s="4">
        <f>(Table3[[#This Row],[Price of One Product]]*Table3[[#This Row],[No of Products in one Sale]])-Table3[[#This Row],[Discount]]</f>
        <v>499.37790222678007</v>
      </c>
    </row>
    <row r="335" spans="1:10" x14ac:dyDescent="0.3">
      <c r="A335" t="s">
        <v>358</v>
      </c>
      <c r="B335" t="s">
        <v>53</v>
      </c>
      <c r="C335" s="1">
        <v>44725</v>
      </c>
      <c r="D335" t="s">
        <v>62</v>
      </c>
      <c r="E335" t="s">
        <v>67</v>
      </c>
      <c r="F335">
        <v>130</v>
      </c>
      <c r="G335" t="s">
        <v>2</v>
      </c>
      <c r="H335" s="2">
        <v>5</v>
      </c>
      <c r="I335" s="3">
        <v>6.1676790443396468E-2</v>
      </c>
      <c r="J335" s="4">
        <f>(Table3[[#This Row],[Price of One Product]]*Table3[[#This Row],[No of Products in one Sale]])-Table3[[#This Row],[Discount]]</f>
        <v>649.93832320955664</v>
      </c>
    </row>
    <row r="336" spans="1:10" x14ac:dyDescent="0.3">
      <c r="A336" t="s">
        <v>359</v>
      </c>
      <c r="B336" t="s">
        <v>54</v>
      </c>
      <c r="C336" s="1">
        <v>44734</v>
      </c>
      <c r="D336" t="s">
        <v>59</v>
      </c>
      <c r="E336" t="s">
        <v>66</v>
      </c>
      <c r="F336">
        <v>72</v>
      </c>
      <c r="G336" t="s">
        <v>0</v>
      </c>
      <c r="H336" s="2">
        <v>12</v>
      </c>
      <c r="I336" s="3">
        <v>0.49213521317421138</v>
      </c>
      <c r="J336" s="4">
        <f>(Table3[[#This Row],[Price of One Product]]*Table3[[#This Row],[No of Products in one Sale]])-Table3[[#This Row],[Discount]]</f>
        <v>863.50786478682573</v>
      </c>
    </row>
    <row r="337" spans="1:10" x14ac:dyDescent="0.3">
      <c r="A337" t="s">
        <v>360</v>
      </c>
      <c r="B337" t="s">
        <v>51</v>
      </c>
      <c r="C337" s="1">
        <v>44761</v>
      </c>
      <c r="D337" t="s">
        <v>60</v>
      </c>
      <c r="E337" t="s">
        <v>67</v>
      </c>
      <c r="F337">
        <v>65</v>
      </c>
      <c r="G337" t="s">
        <v>1</v>
      </c>
      <c r="H337" s="2">
        <v>9</v>
      </c>
      <c r="I337" s="3">
        <v>0.69552711985994919</v>
      </c>
      <c r="J337" s="4">
        <f>(Table3[[#This Row],[Price of One Product]]*Table3[[#This Row],[No of Products in one Sale]])-Table3[[#This Row],[Discount]]</f>
        <v>584.30447288014</v>
      </c>
    </row>
    <row r="338" spans="1:10" x14ac:dyDescent="0.3">
      <c r="A338" t="s">
        <v>361</v>
      </c>
      <c r="B338" t="s">
        <v>52</v>
      </c>
      <c r="C338" s="1">
        <v>44735</v>
      </c>
      <c r="D338" t="s">
        <v>61</v>
      </c>
      <c r="E338" t="s">
        <v>66</v>
      </c>
      <c r="F338">
        <v>250</v>
      </c>
      <c r="G338" t="s">
        <v>2</v>
      </c>
      <c r="H338" s="2">
        <v>4</v>
      </c>
      <c r="I338" s="3">
        <v>0.54528907278354111</v>
      </c>
      <c r="J338" s="4">
        <f>(Table3[[#This Row],[Price of One Product]]*Table3[[#This Row],[No of Products in one Sale]])-Table3[[#This Row],[Discount]]</f>
        <v>999.45471092721641</v>
      </c>
    </row>
    <row r="339" spans="1:10" x14ac:dyDescent="0.3">
      <c r="A339" t="s">
        <v>362</v>
      </c>
      <c r="B339" t="s">
        <v>53</v>
      </c>
      <c r="C339" s="1">
        <v>44753</v>
      </c>
      <c r="D339" t="s">
        <v>62</v>
      </c>
      <c r="E339" t="s">
        <v>67</v>
      </c>
      <c r="F339">
        <v>130</v>
      </c>
      <c r="G339" t="s">
        <v>0</v>
      </c>
      <c r="H339" s="2">
        <v>4</v>
      </c>
      <c r="I339" s="3">
        <v>0.35199536538224718</v>
      </c>
      <c r="J339" s="4">
        <f>(Table3[[#This Row],[Price of One Product]]*Table3[[#This Row],[No of Products in one Sale]])-Table3[[#This Row],[Discount]]</f>
        <v>519.64800463461779</v>
      </c>
    </row>
    <row r="340" spans="1:10" x14ac:dyDescent="0.3">
      <c r="A340" t="s">
        <v>363</v>
      </c>
      <c r="B340" t="s">
        <v>54</v>
      </c>
      <c r="C340" s="1">
        <v>44732</v>
      </c>
      <c r="D340" t="s">
        <v>63</v>
      </c>
      <c r="E340" t="s">
        <v>66</v>
      </c>
      <c r="F340">
        <v>60</v>
      </c>
      <c r="G340" t="s">
        <v>1</v>
      </c>
      <c r="H340" s="2">
        <v>6</v>
      </c>
      <c r="I340" s="3">
        <v>6.0292533629099143E-2</v>
      </c>
      <c r="J340" s="4">
        <f>(Table3[[#This Row],[Price of One Product]]*Table3[[#This Row],[No of Products in one Sale]])-Table3[[#This Row],[Discount]]</f>
        <v>359.93970746637092</v>
      </c>
    </row>
    <row r="341" spans="1:10" x14ac:dyDescent="0.3">
      <c r="A341" t="s">
        <v>364</v>
      </c>
      <c r="B341" t="s">
        <v>55</v>
      </c>
      <c r="C341" s="1">
        <v>44748</v>
      </c>
      <c r="D341" t="s">
        <v>64</v>
      </c>
      <c r="E341" t="s">
        <v>67</v>
      </c>
      <c r="F341">
        <v>95</v>
      </c>
      <c r="G341" t="s">
        <v>2</v>
      </c>
      <c r="H341" s="2">
        <v>7</v>
      </c>
      <c r="I341" s="3">
        <v>4.1434457281700587E-2</v>
      </c>
      <c r="J341" s="4">
        <f>(Table3[[#This Row],[Price of One Product]]*Table3[[#This Row],[No of Products in one Sale]])-Table3[[#This Row],[Discount]]</f>
        <v>664.95856554271825</v>
      </c>
    </row>
    <row r="342" spans="1:10" x14ac:dyDescent="0.3">
      <c r="A342" t="s">
        <v>365</v>
      </c>
      <c r="B342" t="s">
        <v>56</v>
      </c>
      <c r="C342" s="1">
        <v>44731</v>
      </c>
      <c r="D342" t="s">
        <v>59</v>
      </c>
      <c r="E342" t="s">
        <v>66</v>
      </c>
      <c r="F342">
        <v>72</v>
      </c>
      <c r="G342" t="s">
        <v>0</v>
      </c>
      <c r="H342" s="2">
        <v>3</v>
      </c>
      <c r="I342" s="3">
        <v>0.29516274884520199</v>
      </c>
      <c r="J342" s="4">
        <f>(Table3[[#This Row],[Price of One Product]]*Table3[[#This Row],[No of Products in one Sale]])-Table3[[#This Row],[Discount]]</f>
        <v>215.7048372511548</v>
      </c>
    </row>
    <row r="343" spans="1:10" x14ac:dyDescent="0.3">
      <c r="A343" t="s">
        <v>366</v>
      </c>
      <c r="B343" t="s">
        <v>51</v>
      </c>
      <c r="C343" s="1">
        <v>44725</v>
      </c>
      <c r="D343" t="s">
        <v>60</v>
      </c>
      <c r="E343" t="s">
        <v>67</v>
      </c>
      <c r="F343">
        <v>65</v>
      </c>
      <c r="G343" t="s">
        <v>1</v>
      </c>
      <c r="H343" s="2">
        <v>4</v>
      </c>
      <c r="I343" s="3">
        <v>0.68154294540119276</v>
      </c>
      <c r="J343" s="4">
        <f>(Table3[[#This Row],[Price of One Product]]*Table3[[#This Row],[No of Products in one Sale]])-Table3[[#This Row],[Discount]]</f>
        <v>259.31845705459881</v>
      </c>
    </row>
    <row r="344" spans="1:10" x14ac:dyDescent="0.3">
      <c r="A344" t="s">
        <v>367</v>
      </c>
      <c r="B344" t="s">
        <v>52</v>
      </c>
      <c r="C344" s="1">
        <v>44753</v>
      </c>
      <c r="D344" t="s">
        <v>61</v>
      </c>
      <c r="E344" t="s">
        <v>66</v>
      </c>
      <c r="F344">
        <v>250</v>
      </c>
      <c r="G344" t="s">
        <v>2</v>
      </c>
      <c r="H344" s="2">
        <v>1</v>
      </c>
      <c r="I344" s="3">
        <v>0.52632346520297391</v>
      </c>
      <c r="J344" s="4">
        <f>(Table3[[#This Row],[Price of One Product]]*Table3[[#This Row],[No of Products in one Sale]])-Table3[[#This Row],[Discount]]</f>
        <v>249.47367653479702</v>
      </c>
    </row>
    <row r="345" spans="1:10" x14ac:dyDescent="0.3">
      <c r="A345" t="s">
        <v>368</v>
      </c>
      <c r="B345" t="s">
        <v>53</v>
      </c>
      <c r="C345" s="1">
        <v>44738</v>
      </c>
      <c r="D345" t="s">
        <v>62</v>
      </c>
      <c r="E345" t="s">
        <v>67</v>
      </c>
      <c r="F345">
        <v>130</v>
      </c>
      <c r="G345" t="s">
        <v>0</v>
      </c>
      <c r="H345" s="2">
        <v>6</v>
      </c>
      <c r="I345" s="3">
        <v>5.4437687903536869E-2</v>
      </c>
      <c r="J345" s="4">
        <f>(Table3[[#This Row],[Price of One Product]]*Table3[[#This Row],[No of Products in one Sale]])-Table3[[#This Row],[Discount]]</f>
        <v>779.94556231209651</v>
      </c>
    </row>
    <row r="346" spans="1:10" x14ac:dyDescent="0.3">
      <c r="A346" t="s">
        <v>369</v>
      </c>
      <c r="B346" t="s">
        <v>54</v>
      </c>
      <c r="C346" s="1">
        <v>44762</v>
      </c>
      <c r="D346" t="s">
        <v>59</v>
      </c>
      <c r="E346" t="s">
        <v>67</v>
      </c>
      <c r="F346">
        <v>72</v>
      </c>
      <c r="G346" t="s">
        <v>1</v>
      </c>
      <c r="H346" s="2">
        <v>10</v>
      </c>
      <c r="I346" s="3">
        <v>0.95350738842174898</v>
      </c>
      <c r="J346" s="4">
        <f>(Table3[[#This Row],[Price of One Product]]*Table3[[#This Row],[No of Products in one Sale]])-Table3[[#This Row],[Discount]]</f>
        <v>719.04649261157829</v>
      </c>
    </row>
    <row r="347" spans="1:10" x14ac:dyDescent="0.3">
      <c r="A347" t="s">
        <v>370</v>
      </c>
      <c r="B347" t="s">
        <v>51</v>
      </c>
      <c r="C347" s="1">
        <v>44756</v>
      </c>
      <c r="D347" t="s">
        <v>60</v>
      </c>
      <c r="E347" t="s">
        <v>67</v>
      </c>
      <c r="F347">
        <v>65</v>
      </c>
      <c r="G347" t="s">
        <v>2</v>
      </c>
      <c r="H347" s="2">
        <v>4</v>
      </c>
      <c r="I347" s="3">
        <v>0.46726651348176196</v>
      </c>
      <c r="J347" s="4">
        <f>(Table3[[#This Row],[Price of One Product]]*Table3[[#This Row],[No of Products in one Sale]])-Table3[[#This Row],[Discount]]</f>
        <v>259.53273348651823</v>
      </c>
    </row>
    <row r="348" spans="1:10" x14ac:dyDescent="0.3">
      <c r="A348" t="s">
        <v>371</v>
      </c>
      <c r="B348" t="s">
        <v>52</v>
      </c>
      <c r="C348" s="1">
        <v>44744</v>
      </c>
      <c r="D348" t="s">
        <v>61</v>
      </c>
      <c r="E348" t="s">
        <v>67</v>
      </c>
      <c r="F348">
        <v>250</v>
      </c>
      <c r="G348" t="s">
        <v>0</v>
      </c>
      <c r="H348" s="2">
        <v>2</v>
      </c>
      <c r="I348" s="3">
        <v>0.6015089815611987</v>
      </c>
      <c r="J348" s="4">
        <f>(Table3[[#This Row],[Price of One Product]]*Table3[[#This Row],[No of Products in one Sale]])-Table3[[#This Row],[Discount]]</f>
        <v>499.39849101843879</v>
      </c>
    </row>
    <row r="349" spans="1:10" x14ac:dyDescent="0.3">
      <c r="A349" t="s">
        <v>372</v>
      </c>
      <c r="B349" t="s">
        <v>53</v>
      </c>
      <c r="C349" s="1">
        <v>44753</v>
      </c>
      <c r="D349" t="s">
        <v>62</v>
      </c>
      <c r="E349" t="s">
        <v>67</v>
      </c>
      <c r="F349">
        <v>130</v>
      </c>
      <c r="G349" t="s">
        <v>1</v>
      </c>
      <c r="H349" s="2">
        <v>7</v>
      </c>
      <c r="I349" s="3">
        <v>0.17158764742187849</v>
      </c>
      <c r="J349" s="4">
        <f>(Table3[[#This Row],[Price of One Product]]*Table3[[#This Row],[No of Products in one Sale]])-Table3[[#This Row],[Discount]]</f>
        <v>909.82841235257808</v>
      </c>
    </row>
    <row r="350" spans="1:10" x14ac:dyDescent="0.3">
      <c r="A350" t="s">
        <v>373</v>
      </c>
      <c r="B350" t="s">
        <v>54</v>
      </c>
      <c r="C350" s="1">
        <v>44762</v>
      </c>
      <c r="D350" t="s">
        <v>63</v>
      </c>
      <c r="E350" t="s">
        <v>66</v>
      </c>
      <c r="F350">
        <v>60</v>
      </c>
      <c r="G350" t="s">
        <v>2</v>
      </c>
      <c r="H350" s="2">
        <v>11</v>
      </c>
      <c r="I350" s="3">
        <v>0.44731050880102885</v>
      </c>
      <c r="J350" s="4">
        <f>(Table3[[#This Row],[Price of One Product]]*Table3[[#This Row],[No of Products in one Sale]])-Table3[[#This Row],[Discount]]</f>
        <v>659.55268949119898</v>
      </c>
    </row>
    <row r="351" spans="1:10" x14ac:dyDescent="0.3">
      <c r="A351" t="s">
        <v>374</v>
      </c>
      <c r="B351" t="s">
        <v>55</v>
      </c>
      <c r="C351" s="1">
        <v>44740</v>
      </c>
      <c r="D351" t="s">
        <v>59</v>
      </c>
      <c r="E351" t="s">
        <v>67</v>
      </c>
      <c r="F351">
        <v>72</v>
      </c>
      <c r="G351" t="s">
        <v>0</v>
      </c>
      <c r="H351" s="2">
        <v>8</v>
      </c>
      <c r="I351" s="3">
        <v>0.54246953050958213</v>
      </c>
      <c r="J351" s="4">
        <f>(Table3[[#This Row],[Price of One Product]]*Table3[[#This Row],[No of Products in one Sale]])-Table3[[#This Row],[Discount]]</f>
        <v>575.45753046949039</v>
      </c>
    </row>
    <row r="352" spans="1:10" x14ac:dyDescent="0.3">
      <c r="A352" t="s">
        <v>375</v>
      </c>
      <c r="B352" t="s">
        <v>51</v>
      </c>
      <c r="C352" s="1">
        <v>44729</v>
      </c>
      <c r="D352" t="s">
        <v>60</v>
      </c>
      <c r="E352" t="s">
        <v>66</v>
      </c>
      <c r="F352">
        <v>65</v>
      </c>
      <c r="G352" t="s">
        <v>1</v>
      </c>
      <c r="H352" s="2">
        <v>11</v>
      </c>
      <c r="I352" s="3">
        <v>0.50484804947298401</v>
      </c>
      <c r="J352" s="4">
        <f>(Table3[[#This Row],[Price of One Product]]*Table3[[#This Row],[No of Products in one Sale]])-Table3[[#This Row],[Discount]]</f>
        <v>714.49515195052697</v>
      </c>
    </row>
    <row r="353" spans="1:10" x14ac:dyDescent="0.3">
      <c r="A353" t="s">
        <v>376</v>
      </c>
      <c r="B353" t="s">
        <v>52</v>
      </c>
      <c r="C353" s="1">
        <v>44727</v>
      </c>
      <c r="D353" t="s">
        <v>61</v>
      </c>
      <c r="E353" t="s">
        <v>67</v>
      </c>
      <c r="F353">
        <v>250</v>
      </c>
      <c r="G353" t="s">
        <v>2</v>
      </c>
      <c r="H353" s="2">
        <v>4</v>
      </c>
      <c r="I353" s="3">
        <v>9.2316747421295475E-2</v>
      </c>
      <c r="J353" s="4">
        <f>(Table3[[#This Row],[Price of One Product]]*Table3[[#This Row],[No of Products in one Sale]])-Table3[[#This Row],[Discount]]</f>
        <v>999.90768325257875</v>
      </c>
    </row>
    <row r="354" spans="1:10" x14ac:dyDescent="0.3">
      <c r="A354" t="s">
        <v>377</v>
      </c>
      <c r="B354" t="s">
        <v>53</v>
      </c>
      <c r="C354" s="1">
        <v>44734</v>
      </c>
      <c r="D354" t="s">
        <v>62</v>
      </c>
      <c r="E354" t="s">
        <v>66</v>
      </c>
      <c r="F354">
        <v>130</v>
      </c>
      <c r="G354" t="s">
        <v>0</v>
      </c>
      <c r="H354" s="2">
        <v>7</v>
      </c>
      <c r="I354" s="3">
        <v>0.34907542272706216</v>
      </c>
      <c r="J354" s="4">
        <f>(Table3[[#This Row],[Price of One Product]]*Table3[[#This Row],[No of Products in one Sale]])-Table3[[#This Row],[Discount]]</f>
        <v>909.65092457727292</v>
      </c>
    </row>
    <row r="355" spans="1:10" x14ac:dyDescent="0.3">
      <c r="A355" t="s">
        <v>378</v>
      </c>
      <c r="B355" t="s">
        <v>54</v>
      </c>
      <c r="C355" s="1">
        <v>44744</v>
      </c>
      <c r="D355" t="s">
        <v>59</v>
      </c>
      <c r="E355" t="s">
        <v>67</v>
      </c>
      <c r="F355">
        <v>72</v>
      </c>
      <c r="G355" t="s">
        <v>1</v>
      </c>
      <c r="H355" s="2">
        <v>4</v>
      </c>
      <c r="I355" s="3">
        <v>0.90031823580716619</v>
      </c>
      <c r="J355" s="4">
        <f>(Table3[[#This Row],[Price of One Product]]*Table3[[#This Row],[No of Products in one Sale]])-Table3[[#This Row],[Discount]]</f>
        <v>287.09968176419284</v>
      </c>
    </row>
    <row r="356" spans="1:10" x14ac:dyDescent="0.3">
      <c r="A356" t="s">
        <v>379</v>
      </c>
      <c r="B356" t="s">
        <v>51</v>
      </c>
      <c r="C356" s="1">
        <v>44737</v>
      </c>
      <c r="D356" t="s">
        <v>60</v>
      </c>
      <c r="E356" t="s">
        <v>66</v>
      </c>
      <c r="F356">
        <v>65</v>
      </c>
      <c r="G356" t="s">
        <v>2</v>
      </c>
      <c r="H356" s="2">
        <v>5</v>
      </c>
      <c r="I356" s="3">
        <v>0.18050692795462731</v>
      </c>
      <c r="J356" s="4">
        <f>(Table3[[#This Row],[Price of One Product]]*Table3[[#This Row],[No of Products in one Sale]])-Table3[[#This Row],[Discount]]</f>
        <v>324.81949307204536</v>
      </c>
    </row>
    <row r="357" spans="1:10" x14ac:dyDescent="0.3">
      <c r="A357" t="s">
        <v>380</v>
      </c>
      <c r="B357" t="s">
        <v>52</v>
      </c>
      <c r="C357" s="1">
        <v>44752</v>
      </c>
      <c r="D357" t="s">
        <v>61</v>
      </c>
      <c r="E357" t="s">
        <v>67</v>
      </c>
      <c r="F357">
        <v>250</v>
      </c>
      <c r="G357" t="s">
        <v>0</v>
      </c>
      <c r="H357" s="2">
        <v>1</v>
      </c>
      <c r="I357" s="3">
        <v>2.5445092820001292E-2</v>
      </c>
      <c r="J357" s="4">
        <f>(Table3[[#This Row],[Price of One Product]]*Table3[[#This Row],[No of Products in one Sale]])-Table3[[#This Row],[Discount]]</f>
        <v>249.97455490717999</v>
      </c>
    </row>
    <row r="358" spans="1:10" x14ac:dyDescent="0.3">
      <c r="A358" t="s">
        <v>381</v>
      </c>
      <c r="B358" t="s">
        <v>53</v>
      </c>
      <c r="C358" s="1">
        <v>44736</v>
      </c>
      <c r="D358" t="s">
        <v>62</v>
      </c>
      <c r="E358" t="s">
        <v>66</v>
      </c>
      <c r="F358">
        <v>130</v>
      </c>
      <c r="G358" t="s">
        <v>1</v>
      </c>
      <c r="H358" s="2">
        <v>2</v>
      </c>
      <c r="I358" s="3">
        <v>0.79643741142705549</v>
      </c>
      <c r="J358" s="4">
        <f>(Table3[[#This Row],[Price of One Product]]*Table3[[#This Row],[No of Products in one Sale]])-Table3[[#This Row],[Discount]]</f>
        <v>259.20356258857294</v>
      </c>
    </row>
    <row r="359" spans="1:10" x14ac:dyDescent="0.3">
      <c r="A359" t="s">
        <v>382</v>
      </c>
      <c r="B359" t="s">
        <v>54</v>
      </c>
      <c r="C359" s="1">
        <v>44752</v>
      </c>
      <c r="D359" t="s">
        <v>63</v>
      </c>
      <c r="E359" t="s">
        <v>67</v>
      </c>
      <c r="F359">
        <v>60</v>
      </c>
      <c r="G359" t="s">
        <v>2</v>
      </c>
      <c r="H359" s="2">
        <v>14</v>
      </c>
      <c r="I359" s="3">
        <v>0.16077213359827813</v>
      </c>
      <c r="J359" s="4">
        <f>(Table3[[#This Row],[Price of One Product]]*Table3[[#This Row],[No of Products in one Sale]])-Table3[[#This Row],[Discount]]</f>
        <v>839.83922786640176</v>
      </c>
    </row>
    <row r="360" spans="1:10" x14ac:dyDescent="0.3">
      <c r="A360" t="s">
        <v>383</v>
      </c>
      <c r="B360" t="s">
        <v>55</v>
      </c>
      <c r="C360" s="1">
        <v>44759</v>
      </c>
      <c r="D360" t="s">
        <v>64</v>
      </c>
      <c r="E360" t="s">
        <v>66</v>
      </c>
      <c r="F360">
        <v>95</v>
      </c>
      <c r="G360" t="s">
        <v>0</v>
      </c>
      <c r="H360" s="2">
        <v>9</v>
      </c>
      <c r="I360" s="3">
        <v>0.24693836978869843</v>
      </c>
      <c r="J360" s="4">
        <f>(Table3[[#This Row],[Price of One Product]]*Table3[[#This Row],[No of Products in one Sale]])-Table3[[#This Row],[Discount]]</f>
        <v>854.75306163021128</v>
      </c>
    </row>
    <row r="361" spans="1:10" x14ac:dyDescent="0.3">
      <c r="A361" t="s">
        <v>384</v>
      </c>
      <c r="B361" t="s">
        <v>56</v>
      </c>
      <c r="C361" s="1">
        <v>44763</v>
      </c>
      <c r="D361" t="s">
        <v>59</v>
      </c>
      <c r="E361" t="s">
        <v>67</v>
      </c>
      <c r="F361">
        <v>72</v>
      </c>
      <c r="G361" t="s">
        <v>1</v>
      </c>
      <c r="H361" s="2">
        <v>8</v>
      </c>
      <c r="I361" s="3">
        <v>0.22148207946738752</v>
      </c>
      <c r="J361" s="4">
        <f>(Table3[[#This Row],[Price of One Product]]*Table3[[#This Row],[No of Products in one Sale]])-Table3[[#This Row],[Discount]]</f>
        <v>575.77851792053264</v>
      </c>
    </row>
    <row r="362" spans="1:10" x14ac:dyDescent="0.3">
      <c r="A362" t="s">
        <v>385</v>
      </c>
      <c r="B362" t="s">
        <v>51</v>
      </c>
      <c r="C362" s="1">
        <v>44763</v>
      </c>
      <c r="D362" t="s">
        <v>60</v>
      </c>
      <c r="E362" t="s">
        <v>66</v>
      </c>
      <c r="F362">
        <v>65</v>
      </c>
      <c r="G362" t="s">
        <v>2</v>
      </c>
      <c r="H362" s="2">
        <v>11</v>
      </c>
      <c r="I362" s="3">
        <v>0.71458846230959472</v>
      </c>
      <c r="J362" s="4">
        <f>(Table3[[#This Row],[Price of One Product]]*Table3[[#This Row],[No of Products in one Sale]])-Table3[[#This Row],[Discount]]</f>
        <v>714.28541153769038</v>
      </c>
    </row>
    <row r="363" spans="1:10" x14ac:dyDescent="0.3">
      <c r="A363" t="s">
        <v>386</v>
      </c>
      <c r="B363" t="s">
        <v>52</v>
      </c>
      <c r="C363" s="1">
        <v>44750</v>
      </c>
      <c r="D363" t="s">
        <v>61</v>
      </c>
      <c r="E363" t="s">
        <v>67</v>
      </c>
      <c r="F363">
        <v>250</v>
      </c>
      <c r="G363" t="s">
        <v>0</v>
      </c>
      <c r="H363" s="2">
        <v>4</v>
      </c>
      <c r="I363" s="3">
        <v>0.11286694488931481</v>
      </c>
      <c r="J363" s="4">
        <f>(Table3[[#This Row],[Price of One Product]]*Table3[[#This Row],[No of Products in one Sale]])-Table3[[#This Row],[Discount]]</f>
        <v>999.88713305511067</v>
      </c>
    </row>
    <row r="364" spans="1:10" x14ac:dyDescent="0.3">
      <c r="A364" t="s">
        <v>387</v>
      </c>
      <c r="B364" t="s">
        <v>53</v>
      </c>
      <c r="C364" s="1">
        <v>44751</v>
      </c>
      <c r="D364" t="s">
        <v>62</v>
      </c>
      <c r="E364" t="s">
        <v>66</v>
      </c>
      <c r="F364">
        <v>130</v>
      </c>
      <c r="G364" t="s">
        <v>1</v>
      </c>
      <c r="H364" s="2">
        <v>6</v>
      </c>
      <c r="I364" s="3">
        <v>6.5283590828819849E-2</v>
      </c>
      <c r="J364" s="4">
        <f>(Table3[[#This Row],[Price of One Product]]*Table3[[#This Row],[No of Products in one Sale]])-Table3[[#This Row],[Discount]]</f>
        <v>779.93471640917119</v>
      </c>
    </row>
    <row r="365" spans="1:10" x14ac:dyDescent="0.3">
      <c r="A365" t="s">
        <v>388</v>
      </c>
      <c r="B365" t="s">
        <v>54</v>
      </c>
      <c r="C365" s="1">
        <v>44736</v>
      </c>
      <c r="D365" t="s">
        <v>59</v>
      </c>
      <c r="E365" t="s">
        <v>67</v>
      </c>
      <c r="F365">
        <v>72</v>
      </c>
      <c r="G365" t="s">
        <v>2</v>
      </c>
      <c r="H365" s="2">
        <v>11</v>
      </c>
      <c r="I365" s="3">
        <v>0.46681751998353072</v>
      </c>
      <c r="J365" s="4">
        <f>(Table3[[#This Row],[Price of One Product]]*Table3[[#This Row],[No of Products in one Sale]])-Table3[[#This Row],[Discount]]</f>
        <v>791.53318248001642</v>
      </c>
    </row>
    <row r="366" spans="1:10" x14ac:dyDescent="0.3">
      <c r="A366" t="s">
        <v>389</v>
      </c>
      <c r="B366" t="s">
        <v>51</v>
      </c>
      <c r="C366" s="1">
        <v>44737</v>
      </c>
      <c r="D366" t="s">
        <v>60</v>
      </c>
      <c r="E366" t="s">
        <v>66</v>
      </c>
      <c r="F366">
        <v>65</v>
      </c>
      <c r="G366" t="s">
        <v>0</v>
      </c>
      <c r="H366" s="2">
        <v>9</v>
      </c>
      <c r="I366" s="3">
        <v>0.92202770154223668</v>
      </c>
      <c r="J366" s="4">
        <f>(Table3[[#This Row],[Price of One Product]]*Table3[[#This Row],[No of Products in one Sale]])-Table3[[#This Row],[Discount]]</f>
        <v>584.07797229845778</v>
      </c>
    </row>
    <row r="367" spans="1:10" x14ac:dyDescent="0.3">
      <c r="A367" t="s">
        <v>390</v>
      </c>
      <c r="B367" t="s">
        <v>52</v>
      </c>
      <c r="C367" s="1">
        <v>44744</v>
      </c>
      <c r="D367" t="s">
        <v>61</v>
      </c>
      <c r="E367" t="s">
        <v>67</v>
      </c>
      <c r="F367">
        <v>250</v>
      </c>
      <c r="G367" t="s">
        <v>1</v>
      </c>
      <c r="H367" s="2">
        <v>2</v>
      </c>
      <c r="I367" s="3">
        <v>0.18840485753727232</v>
      </c>
      <c r="J367" s="4">
        <f>(Table3[[#This Row],[Price of One Product]]*Table3[[#This Row],[No of Products in one Sale]])-Table3[[#This Row],[Discount]]</f>
        <v>499.81159514246275</v>
      </c>
    </row>
    <row r="368" spans="1:10" x14ac:dyDescent="0.3">
      <c r="A368" t="s">
        <v>391</v>
      </c>
      <c r="B368" t="s">
        <v>53</v>
      </c>
      <c r="C368" s="1">
        <v>44735</v>
      </c>
      <c r="D368" t="s">
        <v>62</v>
      </c>
      <c r="E368" t="s">
        <v>67</v>
      </c>
      <c r="F368">
        <v>130</v>
      </c>
      <c r="G368" t="s">
        <v>2</v>
      </c>
      <c r="H368" s="2">
        <v>2</v>
      </c>
      <c r="I368" s="3">
        <v>0.27847072137209206</v>
      </c>
      <c r="J368" s="4">
        <f>(Table3[[#This Row],[Price of One Product]]*Table3[[#This Row],[No of Products in one Sale]])-Table3[[#This Row],[Discount]]</f>
        <v>259.72152927862788</v>
      </c>
    </row>
    <row r="369" spans="1:10" x14ac:dyDescent="0.3">
      <c r="A369" t="s">
        <v>392</v>
      </c>
      <c r="B369" t="s">
        <v>51</v>
      </c>
      <c r="C369" s="1">
        <v>44751</v>
      </c>
      <c r="D369" t="s">
        <v>59</v>
      </c>
      <c r="E369" t="s">
        <v>67</v>
      </c>
      <c r="F369">
        <v>72</v>
      </c>
      <c r="G369" t="s">
        <v>0</v>
      </c>
      <c r="H369" s="2">
        <v>10</v>
      </c>
      <c r="I369" s="3">
        <v>0.78884251376405168</v>
      </c>
      <c r="J369" s="4">
        <f>(Table3[[#This Row],[Price of One Product]]*Table3[[#This Row],[No of Products in one Sale]])-Table3[[#This Row],[Discount]]</f>
        <v>719.21115748623595</v>
      </c>
    </row>
    <row r="370" spans="1:10" x14ac:dyDescent="0.3">
      <c r="A370" t="s">
        <v>393</v>
      </c>
      <c r="B370" t="s">
        <v>52</v>
      </c>
      <c r="C370" s="1">
        <v>44726</v>
      </c>
      <c r="D370" t="s">
        <v>60</v>
      </c>
      <c r="E370" t="s">
        <v>67</v>
      </c>
      <c r="F370">
        <v>65</v>
      </c>
      <c r="G370" t="s">
        <v>0</v>
      </c>
      <c r="H370" s="2">
        <v>5</v>
      </c>
      <c r="I370" s="3">
        <v>0.18299168548896383</v>
      </c>
      <c r="J370" s="4">
        <f>(Table3[[#This Row],[Price of One Product]]*Table3[[#This Row],[No of Products in one Sale]])-Table3[[#This Row],[Discount]]</f>
        <v>324.81700831451104</v>
      </c>
    </row>
    <row r="371" spans="1:10" x14ac:dyDescent="0.3">
      <c r="A371" t="s">
        <v>394</v>
      </c>
      <c r="B371" t="s">
        <v>53</v>
      </c>
      <c r="C371" s="1">
        <v>44749</v>
      </c>
      <c r="D371" t="s">
        <v>61</v>
      </c>
      <c r="E371" t="s">
        <v>67</v>
      </c>
      <c r="F371">
        <v>250</v>
      </c>
      <c r="G371" t="s">
        <v>1</v>
      </c>
      <c r="H371" s="2">
        <v>3</v>
      </c>
      <c r="I371" s="3">
        <v>0.20591715888096995</v>
      </c>
      <c r="J371" s="4">
        <f>(Table3[[#This Row],[Price of One Product]]*Table3[[#This Row],[No of Products in one Sale]])-Table3[[#This Row],[Discount]]</f>
        <v>749.79408284111901</v>
      </c>
    </row>
    <row r="372" spans="1:10" x14ac:dyDescent="0.3">
      <c r="A372" t="s">
        <v>395</v>
      </c>
      <c r="B372" t="s">
        <v>54</v>
      </c>
      <c r="C372" s="1">
        <v>44734</v>
      </c>
      <c r="D372" t="s">
        <v>62</v>
      </c>
      <c r="E372" t="s">
        <v>66</v>
      </c>
      <c r="F372">
        <v>130</v>
      </c>
      <c r="G372" t="s">
        <v>2</v>
      </c>
      <c r="H372" s="2">
        <v>2</v>
      </c>
      <c r="I372" s="3">
        <v>2.128339836887938E-2</v>
      </c>
      <c r="J372" s="4">
        <f>(Table3[[#This Row],[Price of One Product]]*Table3[[#This Row],[No of Products in one Sale]])-Table3[[#This Row],[Discount]]</f>
        <v>259.97871660163111</v>
      </c>
    </row>
    <row r="373" spans="1:10" x14ac:dyDescent="0.3">
      <c r="A373" t="s">
        <v>396</v>
      </c>
      <c r="B373" t="s">
        <v>51</v>
      </c>
      <c r="C373" s="1">
        <v>44726</v>
      </c>
      <c r="D373" t="s">
        <v>59</v>
      </c>
      <c r="E373" t="s">
        <v>67</v>
      </c>
      <c r="F373">
        <v>72</v>
      </c>
      <c r="G373" t="s">
        <v>0</v>
      </c>
      <c r="H373" s="2">
        <v>4</v>
      </c>
      <c r="I373" s="3">
        <v>2.2806889019524657E-2</v>
      </c>
      <c r="J373" s="4">
        <f>(Table3[[#This Row],[Price of One Product]]*Table3[[#This Row],[No of Products in one Sale]])-Table3[[#This Row],[Discount]]</f>
        <v>287.97719311098047</v>
      </c>
    </row>
    <row r="374" spans="1:10" x14ac:dyDescent="0.3">
      <c r="A374" t="s">
        <v>397</v>
      </c>
      <c r="B374" t="s">
        <v>52</v>
      </c>
      <c r="C374" s="1">
        <v>44743</v>
      </c>
      <c r="D374" t="s">
        <v>60</v>
      </c>
      <c r="E374" t="s">
        <v>66</v>
      </c>
      <c r="F374">
        <v>65</v>
      </c>
      <c r="G374" t="s">
        <v>1</v>
      </c>
      <c r="H374" s="2">
        <v>6</v>
      </c>
      <c r="I374" s="3">
        <v>0.66448214030499053</v>
      </c>
      <c r="J374" s="4">
        <f>(Table3[[#This Row],[Price of One Product]]*Table3[[#This Row],[No of Products in one Sale]])-Table3[[#This Row],[Discount]]</f>
        <v>389.33551785969502</v>
      </c>
    </row>
    <row r="375" spans="1:10" x14ac:dyDescent="0.3">
      <c r="A375" t="s">
        <v>398</v>
      </c>
      <c r="B375" t="s">
        <v>53</v>
      </c>
      <c r="C375" s="1">
        <v>44742</v>
      </c>
      <c r="D375" t="s">
        <v>61</v>
      </c>
      <c r="E375" t="s">
        <v>67</v>
      </c>
      <c r="F375">
        <v>250</v>
      </c>
      <c r="G375" t="s">
        <v>2</v>
      </c>
      <c r="H375" s="2">
        <v>3</v>
      </c>
      <c r="I375" s="3">
        <v>0.29151955249280481</v>
      </c>
      <c r="J375" s="4">
        <f>(Table3[[#This Row],[Price of One Product]]*Table3[[#This Row],[No of Products in one Sale]])-Table3[[#This Row],[Discount]]</f>
        <v>749.70848044750721</v>
      </c>
    </row>
    <row r="376" spans="1:10" x14ac:dyDescent="0.3">
      <c r="A376" t="s">
        <v>399</v>
      </c>
      <c r="B376" t="s">
        <v>54</v>
      </c>
      <c r="C376" s="1">
        <v>44747</v>
      </c>
      <c r="D376" t="s">
        <v>62</v>
      </c>
      <c r="E376" t="s">
        <v>66</v>
      </c>
      <c r="F376">
        <v>130</v>
      </c>
      <c r="G376" t="s">
        <v>0</v>
      </c>
      <c r="H376" s="2">
        <v>5</v>
      </c>
      <c r="I376" s="3">
        <v>0.55684098110336311</v>
      </c>
      <c r="J376" s="4">
        <f>(Table3[[#This Row],[Price of One Product]]*Table3[[#This Row],[No of Products in one Sale]])-Table3[[#This Row],[Discount]]</f>
        <v>649.44315901889661</v>
      </c>
    </row>
    <row r="377" spans="1:10" x14ac:dyDescent="0.3">
      <c r="A377" t="s">
        <v>400</v>
      </c>
      <c r="B377" t="s">
        <v>55</v>
      </c>
      <c r="C377" s="1">
        <v>44764</v>
      </c>
      <c r="D377" t="s">
        <v>63</v>
      </c>
      <c r="E377" t="s">
        <v>67</v>
      </c>
      <c r="F377">
        <v>60</v>
      </c>
      <c r="G377" t="s">
        <v>1</v>
      </c>
      <c r="H377" s="2">
        <v>14</v>
      </c>
      <c r="I377" s="3">
        <v>0.57240542144015649</v>
      </c>
      <c r="J377" s="4">
        <f>(Table3[[#This Row],[Price of One Product]]*Table3[[#This Row],[No of Products in one Sale]])-Table3[[#This Row],[Discount]]</f>
        <v>839.42759457855982</v>
      </c>
    </row>
    <row r="378" spans="1:10" x14ac:dyDescent="0.3">
      <c r="A378" t="s">
        <v>401</v>
      </c>
      <c r="B378" t="s">
        <v>51</v>
      </c>
      <c r="C378" s="1">
        <v>44735</v>
      </c>
      <c r="D378" t="s">
        <v>59</v>
      </c>
      <c r="E378" t="s">
        <v>66</v>
      </c>
      <c r="F378">
        <v>72</v>
      </c>
      <c r="G378" t="s">
        <v>2</v>
      </c>
      <c r="H378" s="2">
        <v>3</v>
      </c>
      <c r="I378" s="3">
        <v>8.6221643115211744E-2</v>
      </c>
      <c r="J378" s="4">
        <f>(Table3[[#This Row],[Price of One Product]]*Table3[[#This Row],[No of Products in one Sale]])-Table3[[#This Row],[Discount]]</f>
        <v>215.91377835688479</v>
      </c>
    </row>
    <row r="379" spans="1:10" x14ac:dyDescent="0.3">
      <c r="A379" t="s">
        <v>402</v>
      </c>
      <c r="B379" t="s">
        <v>52</v>
      </c>
      <c r="C379" s="1">
        <v>44737</v>
      </c>
      <c r="D379" t="s">
        <v>60</v>
      </c>
      <c r="E379" t="s">
        <v>67</v>
      </c>
      <c r="F379">
        <v>65</v>
      </c>
      <c r="G379" t="s">
        <v>0</v>
      </c>
      <c r="H379" s="2">
        <v>10</v>
      </c>
      <c r="I379" s="3">
        <v>0.95609718609661631</v>
      </c>
      <c r="J379" s="4">
        <f>(Table3[[#This Row],[Price of One Product]]*Table3[[#This Row],[No of Products in one Sale]])-Table3[[#This Row],[Discount]]</f>
        <v>649.0439028139034</v>
      </c>
    </row>
    <row r="380" spans="1:10" x14ac:dyDescent="0.3">
      <c r="A380" t="s">
        <v>403</v>
      </c>
      <c r="B380" t="s">
        <v>53</v>
      </c>
      <c r="C380" s="1">
        <v>44749</v>
      </c>
      <c r="D380" t="s">
        <v>61</v>
      </c>
      <c r="E380" t="s">
        <v>66</v>
      </c>
      <c r="F380">
        <v>250</v>
      </c>
      <c r="G380" t="s">
        <v>1</v>
      </c>
      <c r="H380" s="2">
        <v>2</v>
      </c>
      <c r="I380" s="3">
        <v>0.2455223768222089</v>
      </c>
      <c r="J380" s="4">
        <f>(Table3[[#This Row],[Price of One Product]]*Table3[[#This Row],[No of Products in one Sale]])-Table3[[#This Row],[Discount]]</f>
        <v>499.75447762317776</v>
      </c>
    </row>
    <row r="381" spans="1:10" x14ac:dyDescent="0.3">
      <c r="A381" t="s">
        <v>404</v>
      </c>
      <c r="B381" t="s">
        <v>54</v>
      </c>
      <c r="C381" s="1">
        <v>44729</v>
      </c>
      <c r="D381" t="s">
        <v>62</v>
      </c>
      <c r="E381" t="s">
        <v>67</v>
      </c>
      <c r="F381">
        <v>130</v>
      </c>
      <c r="G381" t="s">
        <v>2</v>
      </c>
      <c r="H381" s="2">
        <v>7</v>
      </c>
      <c r="I381" s="3">
        <v>0.56637632681080741</v>
      </c>
      <c r="J381" s="4">
        <f>(Table3[[#This Row],[Price of One Product]]*Table3[[#This Row],[No of Products in one Sale]])-Table3[[#This Row],[Discount]]</f>
        <v>909.43362367318923</v>
      </c>
    </row>
    <row r="382" spans="1:10" x14ac:dyDescent="0.3">
      <c r="A382" t="s">
        <v>405</v>
      </c>
      <c r="B382" t="s">
        <v>51</v>
      </c>
      <c r="C382" s="1">
        <v>44738</v>
      </c>
      <c r="D382" t="s">
        <v>59</v>
      </c>
      <c r="E382" t="s">
        <v>66</v>
      </c>
      <c r="F382">
        <v>72</v>
      </c>
      <c r="G382" t="s">
        <v>0</v>
      </c>
      <c r="H382" s="2">
        <v>11</v>
      </c>
      <c r="I382" s="3">
        <v>4.5179835219914199E-2</v>
      </c>
      <c r="J382" s="4">
        <f>(Table3[[#This Row],[Price of One Product]]*Table3[[#This Row],[No of Products in one Sale]])-Table3[[#This Row],[Discount]]</f>
        <v>791.95482016478013</v>
      </c>
    </row>
    <row r="383" spans="1:10" x14ac:dyDescent="0.3">
      <c r="A383" t="s">
        <v>406</v>
      </c>
      <c r="B383" t="s">
        <v>52</v>
      </c>
      <c r="C383" s="1">
        <v>44740</v>
      </c>
      <c r="D383" t="s">
        <v>60</v>
      </c>
      <c r="E383" t="s">
        <v>67</v>
      </c>
      <c r="F383">
        <v>65</v>
      </c>
      <c r="G383" t="s">
        <v>1</v>
      </c>
      <c r="H383" s="2">
        <v>13</v>
      </c>
      <c r="I383" s="3">
        <v>0.97345529924354934</v>
      </c>
      <c r="J383" s="4">
        <f>(Table3[[#This Row],[Price of One Product]]*Table3[[#This Row],[No of Products in one Sale]])-Table3[[#This Row],[Discount]]</f>
        <v>844.0265447007564</v>
      </c>
    </row>
    <row r="384" spans="1:10" x14ac:dyDescent="0.3">
      <c r="A384" t="s">
        <v>407</v>
      </c>
      <c r="B384" t="s">
        <v>53</v>
      </c>
      <c r="C384" s="1">
        <v>44755</v>
      </c>
      <c r="D384" t="s">
        <v>61</v>
      </c>
      <c r="E384" t="s">
        <v>66</v>
      </c>
      <c r="F384">
        <v>250</v>
      </c>
      <c r="G384" t="s">
        <v>2</v>
      </c>
      <c r="H384" s="2">
        <v>3</v>
      </c>
      <c r="I384" s="3">
        <v>0.56733394419124217</v>
      </c>
      <c r="J384" s="4">
        <f>(Table3[[#This Row],[Price of One Product]]*Table3[[#This Row],[No of Products in one Sale]])-Table3[[#This Row],[Discount]]</f>
        <v>749.4326660558088</v>
      </c>
    </row>
    <row r="385" spans="1:10" x14ac:dyDescent="0.3">
      <c r="A385" t="s">
        <v>408</v>
      </c>
      <c r="B385" t="s">
        <v>54</v>
      </c>
      <c r="C385" s="1">
        <v>44755</v>
      </c>
      <c r="D385" t="s">
        <v>62</v>
      </c>
      <c r="E385" t="s">
        <v>67</v>
      </c>
      <c r="F385">
        <v>130</v>
      </c>
      <c r="G385" t="s">
        <v>0</v>
      </c>
      <c r="H385" s="2">
        <v>6</v>
      </c>
      <c r="I385" s="3">
        <v>0.37928431149731212</v>
      </c>
      <c r="J385" s="4">
        <f>(Table3[[#This Row],[Price of One Product]]*Table3[[#This Row],[No of Products in one Sale]])-Table3[[#This Row],[Discount]]</f>
        <v>779.62071568850274</v>
      </c>
    </row>
    <row r="386" spans="1:10" x14ac:dyDescent="0.3">
      <c r="A386" t="s">
        <v>409</v>
      </c>
      <c r="B386" t="s">
        <v>55</v>
      </c>
      <c r="C386" s="1">
        <v>44764</v>
      </c>
      <c r="D386" t="s">
        <v>63</v>
      </c>
      <c r="E386" t="s">
        <v>66</v>
      </c>
      <c r="F386">
        <v>60</v>
      </c>
      <c r="G386" t="s">
        <v>1</v>
      </c>
      <c r="H386" s="2">
        <v>15</v>
      </c>
      <c r="I386" s="3">
        <v>0.62865911330533553</v>
      </c>
      <c r="J386" s="4">
        <f>(Table3[[#This Row],[Price of One Product]]*Table3[[#This Row],[No of Products in one Sale]])-Table3[[#This Row],[Discount]]</f>
        <v>899.37134088669461</v>
      </c>
    </row>
    <row r="387" spans="1:10" x14ac:dyDescent="0.3">
      <c r="A387" t="s">
        <v>410</v>
      </c>
      <c r="B387" t="s">
        <v>56</v>
      </c>
      <c r="C387" s="1">
        <v>44735</v>
      </c>
      <c r="D387" t="s">
        <v>64</v>
      </c>
      <c r="E387" t="s">
        <v>67</v>
      </c>
      <c r="F387">
        <v>95</v>
      </c>
      <c r="G387" t="s">
        <v>2</v>
      </c>
      <c r="H387" s="2">
        <v>6</v>
      </c>
      <c r="I387" s="3">
        <v>0.37937934610324464</v>
      </c>
      <c r="J387" s="4">
        <f>(Table3[[#This Row],[Price of One Product]]*Table3[[#This Row],[No of Products in one Sale]])-Table3[[#This Row],[Discount]]</f>
        <v>569.62062065389671</v>
      </c>
    </row>
    <row r="388" spans="1:10" x14ac:dyDescent="0.3">
      <c r="A388" t="s">
        <v>411</v>
      </c>
      <c r="B388" t="s">
        <v>51</v>
      </c>
      <c r="C388" s="1">
        <v>44734</v>
      </c>
      <c r="D388" t="s">
        <v>59</v>
      </c>
      <c r="E388" t="s">
        <v>66</v>
      </c>
      <c r="F388">
        <v>72</v>
      </c>
      <c r="G388" t="s">
        <v>0</v>
      </c>
      <c r="H388" s="2">
        <v>11</v>
      </c>
      <c r="I388" s="3">
        <v>0.35891515866951118</v>
      </c>
      <c r="J388" s="4">
        <f>(Table3[[#This Row],[Price of One Product]]*Table3[[#This Row],[No of Products in one Sale]])-Table3[[#This Row],[Discount]]</f>
        <v>791.64108484133044</v>
      </c>
    </row>
    <row r="389" spans="1:10" x14ac:dyDescent="0.3">
      <c r="A389" t="s">
        <v>412</v>
      </c>
      <c r="B389" t="s">
        <v>52</v>
      </c>
      <c r="C389" s="1">
        <v>44728</v>
      </c>
      <c r="D389" t="s">
        <v>60</v>
      </c>
      <c r="E389" t="s">
        <v>67</v>
      </c>
      <c r="F389">
        <v>65</v>
      </c>
      <c r="G389" t="s">
        <v>1</v>
      </c>
      <c r="H389" s="2">
        <v>13</v>
      </c>
      <c r="I389" s="3">
        <v>0.90122352916020354</v>
      </c>
      <c r="J389" s="4">
        <f>(Table3[[#This Row],[Price of One Product]]*Table3[[#This Row],[No of Products in one Sale]])-Table3[[#This Row],[Discount]]</f>
        <v>844.09877647083977</v>
      </c>
    </row>
    <row r="390" spans="1:10" x14ac:dyDescent="0.3">
      <c r="A390" t="s">
        <v>413</v>
      </c>
      <c r="B390" t="s">
        <v>53</v>
      </c>
      <c r="C390" s="1">
        <v>44739</v>
      </c>
      <c r="D390" t="s">
        <v>61</v>
      </c>
      <c r="E390" t="s">
        <v>67</v>
      </c>
      <c r="F390">
        <v>250</v>
      </c>
      <c r="G390" t="s">
        <v>2</v>
      </c>
      <c r="H390" s="2">
        <v>3</v>
      </c>
      <c r="I390" s="3">
        <v>0.37786597877728811</v>
      </c>
      <c r="J390" s="4">
        <f>(Table3[[#This Row],[Price of One Product]]*Table3[[#This Row],[No of Products in one Sale]])-Table3[[#This Row],[Discount]]</f>
        <v>749.62213402122268</v>
      </c>
    </row>
    <row r="391" spans="1:10" x14ac:dyDescent="0.3">
      <c r="A391" t="s">
        <v>414</v>
      </c>
      <c r="B391" t="s">
        <v>54</v>
      </c>
      <c r="C391" s="1">
        <v>44765</v>
      </c>
      <c r="D391" t="s">
        <v>62</v>
      </c>
      <c r="E391" t="s">
        <v>67</v>
      </c>
      <c r="F391">
        <v>130</v>
      </c>
      <c r="G391" t="s">
        <v>0</v>
      </c>
      <c r="H391" s="2">
        <v>3</v>
      </c>
      <c r="I391" s="3">
        <v>0.38913445453338702</v>
      </c>
      <c r="J391" s="4">
        <f>(Table3[[#This Row],[Price of One Product]]*Table3[[#This Row],[No of Products in one Sale]])-Table3[[#This Row],[Discount]]</f>
        <v>389.61086554546659</v>
      </c>
    </row>
    <row r="392" spans="1:10" x14ac:dyDescent="0.3">
      <c r="A392" t="s">
        <v>415</v>
      </c>
      <c r="B392" t="s">
        <v>51</v>
      </c>
      <c r="C392" s="1">
        <v>44740</v>
      </c>
      <c r="D392" t="s">
        <v>59</v>
      </c>
      <c r="E392" t="s">
        <v>67</v>
      </c>
      <c r="F392">
        <v>72</v>
      </c>
      <c r="G392" t="s">
        <v>1</v>
      </c>
      <c r="H392" s="2">
        <v>12</v>
      </c>
      <c r="I392" s="3">
        <v>0.60714667724340543</v>
      </c>
      <c r="J392" s="4">
        <f>(Table3[[#This Row],[Price of One Product]]*Table3[[#This Row],[No of Products in one Sale]])-Table3[[#This Row],[Discount]]</f>
        <v>863.39285332275665</v>
      </c>
    </row>
    <row r="393" spans="1:10" x14ac:dyDescent="0.3">
      <c r="A393" t="s">
        <v>416</v>
      </c>
      <c r="B393" t="s">
        <v>52</v>
      </c>
      <c r="C393" s="1">
        <v>44734</v>
      </c>
      <c r="D393" t="s">
        <v>60</v>
      </c>
      <c r="E393" t="s">
        <v>67</v>
      </c>
      <c r="F393">
        <v>65</v>
      </c>
      <c r="G393" t="s">
        <v>2</v>
      </c>
      <c r="H393" s="2">
        <v>8</v>
      </c>
      <c r="I393" s="3">
        <v>0.17261163513710231</v>
      </c>
      <c r="J393" s="4">
        <f>(Table3[[#This Row],[Price of One Product]]*Table3[[#This Row],[No of Products in one Sale]])-Table3[[#This Row],[Discount]]</f>
        <v>519.82738836486294</v>
      </c>
    </row>
    <row r="394" spans="1:10" x14ac:dyDescent="0.3">
      <c r="A394" t="s">
        <v>417</v>
      </c>
      <c r="B394" t="s">
        <v>53</v>
      </c>
      <c r="C394" s="1">
        <v>44727</v>
      </c>
      <c r="D394" t="s">
        <v>61</v>
      </c>
      <c r="E394" t="s">
        <v>66</v>
      </c>
      <c r="F394">
        <v>250</v>
      </c>
      <c r="G394" t="s">
        <v>0</v>
      </c>
      <c r="H394" s="2">
        <v>1</v>
      </c>
      <c r="I394" s="3">
        <v>3.4451566476951467E-2</v>
      </c>
      <c r="J394" s="4">
        <f>(Table3[[#This Row],[Price of One Product]]*Table3[[#This Row],[No of Products in one Sale]])-Table3[[#This Row],[Discount]]</f>
        <v>249.96554843352305</v>
      </c>
    </row>
    <row r="395" spans="1:10" x14ac:dyDescent="0.3">
      <c r="A395" t="s">
        <v>418</v>
      </c>
      <c r="B395" t="s">
        <v>54</v>
      </c>
      <c r="C395" s="1">
        <v>44737</v>
      </c>
      <c r="D395" t="s">
        <v>62</v>
      </c>
      <c r="E395" t="s">
        <v>67</v>
      </c>
      <c r="F395">
        <v>130</v>
      </c>
      <c r="G395" t="s">
        <v>1</v>
      </c>
      <c r="H395" s="2">
        <v>4</v>
      </c>
      <c r="I395" s="3">
        <v>0.36600821552214791</v>
      </c>
      <c r="J395" s="4">
        <f>(Table3[[#This Row],[Price of One Product]]*Table3[[#This Row],[No of Products in one Sale]])-Table3[[#This Row],[Discount]]</f>
        <v>519.63399178447787</v>
      </c>
    </row>
    <row r="396" spans="1:10" x14ac:dyDescent="0.3">
      <c r="A396" t="s">
        <v>419</v>
      </c>
      <c r="B396" t="s">
        <v>55</v>
      </c>
      <c r="C396" s="1">
        <v>44747</v>
      </c>
      <c r="D396" t="s">
        <v>63</v>
      </c>
      <c r="E396" t="s">
        <v>66</v>
      </c>
      <c r="F396">
        <v>60</v>
      </c>
      <c r="G396" t="s">
        <v>2</v>
      </c>
      <c r="H396" s="2">
        <v>4</v>
      </c>
      <c r="I396" s="3">
        <v>0.36876304797324455</v>
      </c>
      <c r="J396" s="4">
        <f>(Table3[[#This Row],[Price of One Product]]*Table3[[#This Row],[No of Products in one Sale]])-Table3[[#This Row],[Discount]]</f>
        <v>239.63123695202677</v>
      </c>
    </row>
    <row r="397" spans="1:10" x14ac:dyDescent="0.3">
      <c r="A397" t="s">
        <v>420</v>
      </c>
      <c r="B397" t="s">
        <v>51</v>
      </c>
      <c r="C397" s="1">
        <v>44754</v>
      </c>
      <c r="D397" t="s">
        <v>59</v>
      </c>
      <c r="E397" t="s">
        <v>67</v>
      </c>
      <c r="F397">
        <v>72</v>
      </c>
      <c r="G397" t="s">
        <v>0</v>
      </c>
      <c r="H397" s="2">
        <v>12</v>
      </c>
      <c r="I397" s="3">
        <v>0.78491525862060318</v>
      </c>
      <c r="J397" s="4">
        <f>(Table3[[#This Row],[Price of One Product]]*Table3[[#This Row],[No of Products in one Sale]])-Table3[[#This Row],[Discount]]</f>
        <v>863.21508474137943</v>
      </c>
    </row>
    <row r="398" spans="1:10" x14ac:dyDescent="0.3">
      <c r="A398" t="s">
        <v>421</v>
      </c>
      <c r="B398" t="s">
        <v>52</v>
      </c>
      <c r="C398" s="1">
        <v>44760</v>
      </c>
      <c r="D398" t="s">
        <v>60</v>
      </c>
      <c r="E398" t="s">
        <v>66</v>
      </c>
      <c r="F398">
        <v>65</v>
      </c>
      <c r="G398" t="s">
        <v>1</v>
      </c>
      <c r="H398" s="2">
        <v>4</v>
      </c>
      <c r="I398" s="3">
        <v>0.89433154555842931</v>
      </c>
      <c r="J398" s="4">
        <f>(Table3[[#This Row],[Price of One Product]]*Table3[[#This Row],[No of Products in one Sale]])-Table3[[#This Row],[Discount]]</f>
        <v>259.10566845444157</v>
      </c>
    </row>
    <row r="399" spans="1:10" x14ac:dyDescent="0.3">
      <c r="A399" t="s">
        <v>422</v>
      </c>
      <c r="B399" t="s">
        <v>53</v>
      </c>
      <c r="C399" s="1">
        <v>44759</v>
      </c>
      <c r="D399" t="s">
        <v>61</v>
      </c>
      <c r="E399" t="s">
        <v>67</v>
      </c>
      <c r="F399">
        <v>250</v>
      </c>
      <c r="G399" t="s">
        <v>2</v>
      </c>
      <c r="H399" s="2">
        <v>1</v>
      </c>
      <c r="I399" s="3">
        <v>0.54494310667938251</v>
      </c>
      <c r="J399" s="4">
        <f>(Table3[[#This Row],[Price of One Product]]*Table3[[#This Row],[No of Products in one Sale]])-Table3[[#This Row],[Discount]]</f>
        <v>249.45505689332063</v>
      </c>
    </row>
    <row r="400" spans="1:10" x14ac:dyDescent="0.3">
      <c r="A400" t="s">
        <v>423</v>
      </c>
      <c r="B400" t="s">
        <v>54</v>
      </c>
      <c r="C400" s="1">
        <v>44735</v>
      </c>
      <c r="D400" t="s">
        <v>62</v>
      </c>
      <c r="E400" t="s">
        <v>66</v>
      </c>
      <c r="F400">
        <v>130</v>
      </c>
      <c r="G400" t="s">
        <v>0</v>
      </c>
      <c r="H400" s="2">
        <v>7</v>
      </c>
      <c r="I400" s="3">
        <v>0.84443209424513666</v>
      </c>
      <c r="J400" s="4">
        <f>(Table3[[#This Row],[Price of One Product]]*Table3[[#This Row],[No of Products in one Sale]])-Table3[[#This Row],[Discount]]</f>
        <v>909.15556790575488</v>
      </c>
    </row>
    <row r="401" spans="1:10" x14ac:dyDescent="0.3">
      <c r="A401" t="s">
        <v>424</v>
      </c>
      <c r="B401" t="s">
        <v>51</v>
      </c>
      <c r="C401" s="1">
        <v>44734</v>
      </c>
      <c r="D401" t="s">
        <v>59</v>
      </c>
      <c r="E401" t="s">
        <v>67</v>
      </c>
      <c r="F401">
        <v>72</v>
      </c>
      <c r="G401" t="s">
        <v>1</v>
      </c>
      <c r="H401" s="2">
        <v>7</v>
      </c>
      <c r="I401" s="3">
        <v>0.11084077878058052</v>
      </c>
      <c r="J401" s="4">
        <f>(Table3[[#This Row],[Price of One Product]]*Table3[[#This Row],[No of Products in one Sale]])-Table3[[#This Row],[Discount]]</f>
        <v>503.88915922121942</v>
      </c>
    </row>
    <row r="402" spans="1:10" x14ac:dyDescent="0.3">
      <c r="A402" t="s">
        <v>425</v>
      </c>
      <c r="B402" t="s">
        <v>52</v>
      </c>
      <c r="C402" s="1">
        <v>44753</v>
      </c>
      <c r="D402" t="s">
        <v>60</v>
      </c>
      <c r="E402" t="s">
        <v>66</v>
      </c>
      <c r="F402">
        <v>65</v>
      </c>
      <c r="G402" t="s">
        <v>2</v>
      </c>
      <c r="H402" s="2">
        <v>9</v>
      </c>
      <c r="I402" s="3">
        <v>0.26630312920291821</v>
      </c>
      <c r="J402" s="4">
        <f>(Table3[[#This Row],[Price of One Product]]*Table3[[#This Row],[No of Products in one Sale]])-Table3[[#This Row],[Discount]]</f>
        <v>584.73369687079708</v>
      </c>
    </row>
    <row r="403" spans="1:10" x14ac:dyDescent="0.3">
      <c r="A403" t="s">
        <v>426</v>
      </c>
      <c r="B403" t="s">
        <v>53</v>
      </c>
      <c r="C403" s="1">
        <v>44739</v>
      </c>
      <c r="D403" t="s">
        <v>61</v>
      </c>
      <c r="E403" t="s">
        <v>67</v>
      </c>
      <c r="F403">
        <v>250</v>
      </c>
      <c r="G403" t="s">
        <v>0</v>
      </c>
      <c r="H403" s="2">
        <v>3</v>
      </c>
      <c r="I403" s="3">
        <v>0.13279161787420113</v>
      </c>
      <c r="J403" s="4">
        <f>(Table3[[#This Row],[Price of One Product]]*Table3[[#This Row],[No of Products in one Sale]])-Table3[[#This Row],[Discount]]</f>
        <v>749.8672083821258</v>
      </c>
    </row>
    <row r="404" spans="1:10" x14ac:dyDescent="0.3">
      <c r="A404" t="s">
        <v>427</v>
      </c>
      <c r="B404" t="s">
        <v>54</v>
      </c>
      <c r="C404" s="1">
        <v>44740</v>
      </c>
      <c r="D404" t="s">
        <v>62</v>
      </c>
      <c r="E404" t="s">
        <v>66</v>
      </c>
      <c r="F404">
        <v>130</v>
      </c>
      <c r="G404" t="s">
        <v>1</v>
      </c>
      <c r="H404" s="2">
        <v>4</v>
      </c>
      <c r="I404" s="3">
        <v>0.20794478004129135</v>
      </c>
      <c r="J404" s="4">
        <f>(Table3[[#This Row],[Price of One Product]]*Table3[[#This Row],[No of Products in one Sale]])-Table3[[#This Row],[Discount]]</f>
        <v>519.79205521995868</v>
      </c>
    </row>
    <row r="405" spans="1:10" x14ac:dyDescent="0.3">
      <c r="A405" t="s">
        <v>428</v>
      </c>
      <c r="B405" t="s">
        <v>55</v>
      </c>
      <c r="C405" s="1">
        <v>44748</v>
      </c>
      <c r="D405" t="s">
        <v>63</v>
      </c>
      <c r="E405" t="s">
        <v>67</v>
      </c>
      <c r="F405">
        <v>60</v>
      </c>
      <c r="G405" t="s">
        <v>2</v>
      </c>
      <c r="H405" s="2">
        <v>12</v>
      </c>
      <c r="I405" s="3">
        <v>0.76031378549826045</v>
      </c>
      <c r="J405" s="4">
        <f>(Table3[[#This Row],[Price of One Product]]*Table3[[#This Row],[No of Products in one Sale]])-Table3[[#This Row],[Discount]]</f>
        <v>719.23968621450172</v>
      </c>
    </row>
    <row r="406" spans="1:10" x14ac:dyDescent="0.3">
      <c r="A406" t="s">
        <v>429</v>
      </c>
      <c r="B406" t="s">
        <v>56</v>
      </c>
      <c r="C406" s="1">
        <v>44731</v>
      </c>
      <c r="D406" t="s">
        <v>64</v>
      </c>
      <c r="E406" t="s">
        <v>66</v>
      </c>
      <c r="F406">
        <v>95</v>
      </c>
      <c r="G406" t="s">
        <v>0</v>
      </c>
      <c r="H406" s="2">
        <v>8</v>
      </c>
      <c r="I406" s="3">
        <v>0.23804641255169789</v>
      </c>
      <c r="J406" s="4">
        <f>(Table3[[#This Row],[Price of One Product]]*Table3[[#This Row],[No of Products in one Sale]])-Table3[[#This Row],[Discount]]</f>
        <v>759.76195358744826</v>
      </c>
    </row>
    <row r="407" spans="1:10" x14ac:dyDescent="0.3">
      <c r="A407" t="s">
        <v>430</v>
      </c>
      <c r="B407" t="s">
        <v>51</v>
      </c>
      <c r="C407" s="1">
        <v>44763</v>
      </c>
      <c r="D407" t="s">
        <v>59</v>
      </c>
      <c r="E407" t="s">
        <v>67</v>
      </c>
      <c r="F407">
        <v>72</v>
      </c>
      <c r="G407" t="s">
        <v>1</v>
      </c>
      <c r="H407" s="2">
        <v>5</v>
      </c>
      <c r="I407" s="3">
        <v>0.12523689369936652</v>
      </c>
      <c r="J407" s="4">
        <f>(Table3[[#This Row],[Price of One Product]]*Table3[[#This Row],[No of Products in one Sale]])-Table3[[#This Row],[Discount]]</f>
        <v>359.87476310630063</v>
      </c>
    </row>
    <row r="408" spans="1:10" x14ac:dyDescent="0.3">
      <c r="A408" t="s">
        <v>431</v>
      </c>
      <c r="B408" t="s">
        <v>52</v>
      </c>
      <c r="C408" s="1">
        <v>44733</v>
      </c>
      <c r="D408" t="s">
        <v>60</v>
      </c>
      <c r="E408" t="s">
        <v>66</v>
      </c>
      <c r="F408">
        <v>65</v>
      </c>
      <c r="G408" t="s">
        <v>2</v>
      </c>
      <c r="H408" s="2">
        <v>4</v>
      </c>
      <c r="I408" s="3">
        <v>6.7101746358327108E-2</v>
      </c>
      <c r="J408" s="4">
        <f>(Table3[[#This Row],[Price of One Product]]*Table3[[#This Row],[No of Products in one Sale]])-Table3[[#This Row],[Discount]]</f>
        <v>259.93289825364167</v>
      </c>
    </row>
    <row r="409" spans="1:10" x14ac:dyDescent="0.3">
      <c r="A409" t="s">
        <v>432</v>
      </c>
      <c r="B409" t="s">
        <v>53</v>
      </c>
      <c r="C409" s="1">
        <v>44746</v>
      </c>
      <c r="D409" t="s">
        <v>61</v>
      </c>
      <c r="E409" t="s">
        <v>67</v>
      </c>
      <c r="F409">
        <v>250</v>
      </c>
      <c r="G409" t="s">
        <v>0</v>
      </c>
      <c r="H409" s="2">
        <v>2</v>
      </c>
      <c r="I409" s="3">
        <v>0.98970617123906524</v>
      </c>
      <c r="J409" s="4">
        <f>(Table3[[#This Row],[Price of One Product]]*Table3[[#This Row],[No of Products in one Sale]])-Table3[[#This Row],[Discount]]</f>
        <v>499.01029382876095</v>
      </c>
    </row>
    <row r="410" spans="1:10" x14ac:dyDescent="0.3">
      <c r="A410" t="s">
        <v>433</v>
      </c>
      <c r="B410" t="s">
        <v>54</v>
      </c>
      <c r="C410" s="1">
        <v>44755</v>
      </c>
      <c r="D410" t="s">
        <v>62</v>
      </c>
      <c r="E410" t="s">
        <v>66</v>
      </c>
      <c r="F410">
        <v>130</v>
      </c>
      <c r="G410" t="s">
        <v>1</v>
      </c>
      <c r="H410" s="2">
        <v>2</v>
      </c>
      <c r="I410" s="3">
        <v>0.26202679185175082</v>
      </c>
      <c r="J410" s="4">
        <f>(Table3[[#This Row],[Price of One Product]]*Table3[[#This Row],[No of Products in one Sale]])-Table3[[#This Row],[Discount]]</f>
        <v>259.73797320814828</v>
      </c>
    </row>
    <row r="411" spans="1:10" x14ac:dyDescent="0.3">
      <c r="A411" t="s">
        <v>434</v>
      </c>
      <c r="B411" t="s">
        <v>51</v>
      </c>
      <c r="C411" s="1">
        <v>44755</v>
      </c>
      <c r="D411" t="s">
        <v>59</v>
      </c>
      <c r="E411" t="s">
        <v>67</v>
      </c>
      <c r="F411">
        <v>72</v>
      </c>
      <c r="G411" t="s">
        <v>2</v>
      </c>
      <c r="H411" s="2">
        <v>10</v>
      </c>
      <c r="I411" s="3">
        <v>0.87263143953916489</v>
      </c>
      <c r="J411" s="4">
        <f>(Table3[[#This Row],[Price of One Product]]*Table3[[#This Row],[No of Products in one Sale]])-Table3[[#This Row],[Discount]]</f>
        <v>719.12736856046081</v>
      </c>
    </row>
    <row r="412" spans="1:10" x14ac:dyDescent="0.3">
      <c r="A412" t="s">
        <v>435</v>
      </c>
      <c r="B412" t="s">
        <v>52</v>
      </c>
      <c r="C412" s="1">
        <v>44727</v>
      </c>
      <c r="D412" t="s">
        <v>60</v>
      </c>
      <c r="E412" t="s">
        <v>67</v>
      </c>
      <c r="F412">
        <v>65</v>
      </c>
      <c r="G412" t="s">
        <v>0</v>
      </c>
      <c r="H412" s="2">
        <v>6</v>
      </c>
      <c r="I412" s="3">
        <v>0.76778137062272289</v>
      </c>
      <c r="J412" s="4">
        <f>(Table3[[#This Row],[Price of One Product]]*Table3[[#This Row],[No of Products in one Sale]])-Table3[[#This Row],[Discount]]</f>
        <v>389.23221862937726</v>
      </c>
    </row>
    <row r="413" spans="1:10" x14ac:dyDescent="0.3">
      <c r="A413" t="s">
        <v>436</v>
      </c>
      <c r="B413" t="s">
        <v>53</v>
      </c>
      <c r="C413" s="1">
        <v>44746</v>
      </c>
      <c r="D413" t="s">
        <v>61</v>
      </c>
      <c r="E413" t="s">
        <v>67</v>
      </c>
      <c r="F413">
        <v>250</v>
      </c>
      <c r="G413" t="s">
        <v>1</v>
      </c>
      <c r="H413" s="2">
        <v>1</v>
      </c>
      <c r="I413" s="3">
        <v>0.15750010631121669</v>
      </c>
      <c r="J413" s="4">
        <f>(Table3[[#This Row],[Price of One Product]]*Table3[[#This Row],[No of Products in one Sale]])-Table3[[#This Row],[Discount]]</f>
        <v>249.8424998936888</v>
      </c>
    </row>
    <row r="414" spans="1:10" x14ac:dyDescent="0.3">
      <c r="A414" t="s">
        <v>437</v>
      </c>
      <c r="B414" t="s">
        <v>54</v>
      </c>
      <c r="C414" s="1">
        <v>44740</v>
      </c>
      <c r="D414" t="s">
        <v>59</v>
      </c>
      <c r="E414" t="s">
        <v>67</v>
      </c>
      <c r="F414">
        <v>72</v>
      </c>
      <c r="G414" t="s">
        <v>2</v>
      </c>
      <c r="H414" s="2">
        <v>9</v>
      </c>
      <c r="I414" s="3">
        <v>0.53570171465492589</v>
      </c>
      <c r="J414" s="4">
        <f>(Table3[[#This Row],[Price of One Product]]*Table3[[#This Row],[No of Products in one Sale]])-Table3[[#This Row],[Discount]]</f>
        <v>647.46429828534508</v>
      </c>
    </row>
    <row r="415" spans="1:10" x14ac:dyDescent="0.3">
      <c r="A415" t="s">
        <v>438</v>
      </c>
      <c r="B415" t="s">
        <v>51</v>
      </c>
      <c r="C415" s="1">
        <v>44743</v>
      </c>
      <c r="D415" t="s">
        <v>60</v>
      </c>
      <c r="E415" t="s">
        <v>67</v>
      </c>
      <c r="F415">
        <v>65</v>
      </c>
      <c r="G415" t="s">
        <v>0</v>
      </c>
      <c r="H415" s="2">
        <v>7</v>
      </c>
      <c r="I415" s="3">
        <v>0.88217490075954386</v>
      </c>
      <c r="J415" s="4">
        <f>(Table3[[#This Row],[Price of One Product]]*Table3[[#This Row],[No of Products in one Sale]])-Table3[[#This Row],[Discount]]</f>
        <v>454.11782509924046</v>
      </c>
    </row>
    <row r="416" spans="1:10" x14ac:dyDescent="0.3">
      <c r="A416" t="s">
        <v>439</v>
      </c>
      <c r="B416" t="s">
        <v>52</v>
      </c>
      <c r="C416" s="1">
        <v>44737</v>
      </c>
      <c r="D416" t="s">
        <v>61</v>
      </c>
      <c r="E416" t="s">
        <v>66</v>
      </c>
      <c r="F416">
        <v>250</v>
      </c>
      <c r="G416" t="s">
        <v>0</v>
      </c>
      <c r="H416" s="2">
        <v>3</v>
      </c>
      <c r="I416" s="3">
        <v>7.4850081465574259E-2</v>
      </c>
      <c r="J416" s="4">
        <f>(Table3[[#This Row],[Price of One Product]]*Table3[[#This Row],[No of Products in one Sale]])-Table3[[#This Row],[Discount]]</f>
        <v>749.92514991853443</v>
      </c>
    </row>
    <row r="417" spans="1:10" x14ac:dyDescent="0.3">
      <c r="A417" t="s">
        <v>440</v>
      </c>
      <c r="B417" t="s">
        <v>53</v>
      </c>
      <c r="C417" s="1">
        <v>44757</v>
      </c>
      <c r="D417" t="s">
        <v>62</v>
      </c>
      <c r="E417" t="s">
        <v>67</v>
      </c>
      <c r="F417">
        <v>130</v>
      </c>
      <c r="G417" t="s">
        <v>1</v>
      </c>
      <c r="H417" s="2">
        <v>4</v>
      </c>
      <c r="I417" s="3">
        <v>0.4623515242530305</v>
      </c>
      <c r="J417" s="4">
        <f>(Table3[[#This Row],[Price of One Product]]*Table3[[#This Row],[No of Products in one Sale]])-Table3[[#This Row],[Discount]]</f>
        <v>519.53764847574701</v>
      </c>
    </row>
    <row r="418" spans="1:10" x14ac:dyDescent="0.3">
      <c r="A418" t="s">
        <v>441</v>
      </c>
      <c r="B418" t="s">
        <v>54</v>
      </c>
      <c r="C418" s="1">
        <v>44745</v>
      </c>
      <c r="D418" t="s">
        <v>59</v>
      </c>
      <c r="E418" t="s">
        <v>66</v>
      </c>
      <c r="F418">
        <v>72</v>
      </c>
      <c r="G418" t="s">
        <v>2</v>
      </c>
      <c r="H418" s="2">
        <v>10</v>
      </c>
      <c r="I418" s="3">
        <v>0.34462700763177134</v>
      </c>
      <c r="J418" s="4">
        <f>(Table3[[#This Row],[Price of One Product]]*Table3[[#This Row],[No of Products in one Sale]])-Table3[[#This Row],[Discount]]</f>
        <v>719.65537299236826</v>
      </c>
    </row>
    <row r="419" spans="1:10" x14ac:dyDescent="0.3">
      <c r="A419" t="s">
        <v>442</v>
      </c>
      <c r="B419" t="s">
        <v>51</v>
      </c>
      <c r="C419" s="1">
        <v>44760</v>
      </c>
      <c r="D419" t="s">
        <v>60</v>
      </c>
      <c r="E419" t="s">
        <v>67</v>
      </c>
      <c r="F419">
        <v>65</v>
      </c>
      <c r="G419" t="s">
        <v>0</v>
      </c>
      <c r="H419" s="2">
        <v>7</v>
      </c>
      <c r="I419" s="3">
        <v>0.69911624131260175</v>
      </c>
      <c r="J419" s="4">
        <f>(Table3[[#This Row],[Price of One Product]]*Table3[[#This Row],[No of Products in one Sale]])-Table3[[#This Row],[Discount]]</f>
        <v>454.30088375868741</v>
      </c>
    </row>
    <row r="420" spans="1:10" x14ac:dyDescent="0.3">
      <c r="A420" t="s">
        <v>443</v>
      </c>
      <c r="B420" t="s">
        <v>52</v>
      </c>
      <c r="C420" s="1">
        <v>44750</v>
      </c>
      <c r="D420" t="s">
        <v>61</v>
      </c>
      <c r="E420" t="s">
        <v>66</v>
      </c>
      <c r="F420">
        <v>250</v>
      </c>
      <c r="G420" t="s">
        <v>1</v>
      </c>
      <c r="H420" s="2">
        <v>1</v>
      </c>
      <c r="I420" s="3">
        <v>1.890946986705988E-2</v>
      </c>
      <c r="J420" s="4">
        <f>(Table3[[#This Row],[Price of One Product]]*Table3[[#This Row],[No of Products in one Sale]])-Table3[[#This Row],[Discount]]</f>
        <v>249.98109053013295</v>
      </c>
    </row>
    <row r="421" spans="1:10" x14ac:dyDescent="0.3">
      <c r="A421" t="s">
        <v>444</v>
      </c>
      <c r="B421" t="s">
        <v>53</v>
      </c>
      <c r="C421" s="1">
        <v>44742</v>
      </c>
      <c r="D421" t="s">
        <v>62</v>
      </c>
      <c r="E421" t="s">
        <v>67</v>
      </c>
      <c r="F421">
        <v>130</v>
      </c>
      <c r="G421" t="s">
        <v>2</v>
      </c>
      <c r="H421" s="2">
        <v>5</v>
      </c>
      <c r="I421" s="3">
        <v>0.73245470088007136</v>
      </c>
      <c r="J421" s="4">
        <f>(Table3[[#This Row],[Price of One Product]]*Table3[[#This Row],[No of Products in one Sale]])-Table3[[#This Row],[Discount]]</f>
        <v>649.26754529911989</v>
      </c>
    </row>
    <row r="422" spans="1:10" x14ac:dyDescent="0.3">
      <c r="A422" t="s">
        <v>445</v>
      </c>
      <c r="B422" t="s">
        <v>54</v>
      </c>
      <c r="C422" s="1">
        <v>44754</v>
      </c>
      <c r="D422" t="s">
        <v>63</v>
      </c>
      <c r="E422" t="s">
        <v>66</v>
      </c>
      <c r="F422">
        <v>60</v>
      </c>
      <c r="G422" t="s">
        <v>0</v>
      </c>
      <c r="H422" s="2">
        <v>5</v>
      </c>
      <c r="I422" s="3">
        <v>0.72297451744539321</v>
      </c>
      <c r="J422" s="4">
        <f>(Table3[[#This Row],[Price of One Product]]*Table3[[#This Row],[No of Products in one Sale]])-Table3[[#This Row],[Discount]]</f>
        <v>299.27702548255462</v>
      </c>
    </row>
    <row r="423" spans="1:10" x14ac:dyDescent="0.3">
      <c r="A423" t="s">
        <v>446</v>
      </c>
      <c r="B423" t="s">
        <v>55</v>
      </c>
      <c r="C423" s="1">
        <v>44746</v>
      </c>
      <c r="D423" t="s">
        <v>59</v>
      </c>
      <c r="E423" t="s">
        <v>67</v>
      </c>
      <c r="F423">
        <v>72</v>
      </c>
      <c r="G423" t="s">
        <v>1</v>
      </c>
      <c r="H423" s="2">
        <v>9</v>
      </c>
      <c r="I423" s="3">
        <v>0.97417776505363807</v>
      </c>
      <c r="J423" s="4">
        <f>(Table3[[#This Row],[Price of One Product]]*Table3[[#This Row],[No of Products in one Sale]])-Table3[[#This Row],[Discount]]</f>
        <v>647.02582223494642</v>
      </c>
    </row>
    <row r="424" spans="1:10" x14ac:dyDescent="0.3">
      <c r="A424" t="s">
        <v>447</v>
      </c>
      <c r="B424" t="s">
        <v>51</v>
      </c>
      <c r="C424" s="1">
        <v>44752</v>
      </c>
      <c r="D424" t="s">
        <v>60</v>
      </c>
      <c r="E424" t="s">
        <v>66</v>
      </c>
      <c r="F424">
        <v>65</v>
      </c>
      <c r="G424" t="s">
        <v>2</v>
      </c>
      <c r="H424" s="2">
        <v>7</v>
      </c>
      <c r="I424" s="3">
        <v>0.92441295707634297</v>
      </c>
      <c r="J424" s="4">
        <f>(Table3[[#This Row],[Price of One Product]]*Table3[[#This Row],[No of Products in one Sale]])-Table3[[#This Row],[Discount]]</f>
        <v>454.07558704292364</v>
      </c>
    </row>
    <row r="425" spans="1:10" x14ac:dyDescent="0.3">
      <c r="A425" t="s">
        <v>448</v>
      </c>
      <c r="B425" t="s">
        <v>52</v>
      </c>
      <c r="C425" s="1">
        <v>44725</v>
      </c>
      <c r="D425" t="s">
        <v>61</v>
      </c>
      <c r="E425" t="s">
        <v>67</v>
      </c>
      <c r="F425">
        <v>250</v>
      </c>
      <c r="G425" t="s">
        <v>0</v>
      </c>
      <c r="H425" s="2">
        <v>3</v>
      </c>
      <c r="I425" s="3">
        <v>0.34841204291363526</v>
      </c>
      <c r="J425" s="4">
        <f>(Table3[[#This Row],[Price of One Product]]*Table3[[#This Row],[No of Products in one Sale]])-Table3[[#This Row],[Discount]]</f>
        <v>749.65158795708635</v>
      </c>
    </row>
    <row r="426" spans="1:10" x14ac:dyDescent="0.3">
      <c r="A426" t="s">
        <v>449</v>
      </c>
      <c r="B426" t="s">
        <v>53</v>
      </c>
      <c r="C426" s="1">
        <v>44734</v>
      </c>
      <c r="D426" t="s">
        <v>62</v>
      </c>
      <c r="E426" t="s">
        <v>66</v>
      </c>
      <c r="F426">
        <v>130</v>
      </c>
      <c r="G426" t="s">
        <v>1</v>
      </c>
      <c r="H426" s="2">
        <v>7</v>
      </c>
      <c r="I426" s="3">
        <v>0.36862795502486845</v>
      </c>
      <c r="J426" s="4">
        <f>(Table3[[#This Row],[Price of One Product]]*Table3[[#This Row],[No of Products in one Sale]])-Table3[[#This Row],[Discount]]</f>
        <v>909.63137204497514</v>
      </c>
    </row>
    <row r="427" spans="1:10" x14ac:dyDescent="0.3">
      <c r="A427" t="s">
        <v>450</v>
      </c>
      <c r="B427" t="s">
        <v>54</v>
      </c>
      <c r="C427" s="1">
        <v>44761</v>
      </c>
      <c r="D427" t="s">
        <v>59</v>
      </c>
      <c r="E427" t="s">
        <v>67</v>
      </c>
      <c r="F427">
        <v>72</v>
      </c>
      <c r="G427" t="s">
        <v>2</v>
      </c>
      <c r="H427" s="2">
        <v>12</v>
      </c>
      <c r="I427" s="3">
        <v>0.38279600115505574</v>
      </c>
      <c r="J427" s="4">
        <f>(Table3[[#This Row],[Price of One Product]]*Table3[[#This Row],[No of Products in one Sale]])-Table3[[#This Row],[Discount]]</f>
        <v>863.61720399884496</v>
      </c>
    </row>
    <row r="428" spans="1:10" x14ac:dyDescent="0.3">
      <c r="A428" t="s">
        <v>451</v>
      </c>
      <c r="B428" t="s">
        <v>51</v>
      </c>
      <c r="C428" s="1">
        <v>44735</v>
      </c>
      <c r="D428" t="s">
        <v>60</v>
      </c>
      <c r="E428" t="s">
        <v>66</v>
      </c>
      <c r="F428">
        <v>65</v>
      </c>
      <c r="G428" t="s">
        <v>0</v>
      </c>
      <c r="H428" s="2">
        <v>7</v>
      </c>
      <c r="I428" s="3">
        <v>0.77278161923763322</v>
      </c>
      <c r="J428" s="4">
        <f>(Table3[[#This Row],[Price of One Product]]*Table3[[#This Row],[No of Products in one Sale]])-Table3[[#This Row],[Discount]]</f>
        <v>454.22721838076239</v>
      </c>
    </row>
    <row r="429" spans="1:10" x14ac:dyDescent="0.3">
      <c r="A429" t="s">
        <v>452</v>
      </c>
      <c r="B429" t="s">
        <v>52</v>
      </c>
      <c r="C429" s="1">
        <v>44753</v>
      </c>
      <c r="D429" t="s">
        <v>61</v>
      </c>
      <c r="E429" t="s">
        <v>67</v>
      </c>
      <c r="F429">
        <v>250</v>
      </c>
      <c r="G429" t="s">
        <v>1</v>
      </c>
      <c r="H429" s="2">
        <v>3</v>
      </c>
      <c r="I429" s="3">
        <v>0.98194581947705439</v>
      </c>
      <c r="J429" s="4">
        <f>(Table3[[#This Row],[Price of One Product]]*Table3[[#This Row],[No of Products in one Sale]])-Table3[[#This Row],[Discount]]</f>
        <v>749.018054180523</v>
      </c>
    </row>
    <row r="430" spans="1:10" x14ac:dyDescent="0.3">
      <c r="A430" t="s">
        <v>453</v>
      </c>
      <c r="B430" t="s">
        <v>53</v>
      </c>
      <c r="C430" s="1">
        <v>44732</v>
      </c>
      <c r="D430" t="s">
        <v>62</v>
      </c>
      <c r="E430" t="s">
        <v>66</v>
      </c>
      <c r="F430">
        <v>130</v>
      </c>
      <c r="G430" t="s">
        <v>2</v>
      </c>
      <c r="H430" s="2">
        <v>6</v>
      </c>
      <c r="I430" s="3">
        <v>0.24372632968767749</v>
      </c>
      <c r="J430" s="4">
        <f>(Table3[[#This Row],[Price of One Product]]*Table3[[#This Row],[No of Products in one Sale]])-Table3[[#This Row],[Discount]]</f>
        <v>779.75627367031234</v>
      </c>
    </row>
    <row r="431" spans="1:10" x14ac:dyDescent="0.3">
      <c r="A431" t="s">
        <v>454</v>
      </c>
      <c r="B431" t="s">
        <v>54</v>
      </c>
      <c r="C431" s="1">
        <v>44748</v>
      </c>
      <c r="D431" t="s">
        <v>63</v>
      </c>
      <c r="E431" t="s">
        <v>67</v>
      </c>
      <c r="F431">
        <v>60</v>
      </c>
      <c r="G431" t="s">
        <v>0</v>
      </c>
      <c r="H431" s="2">
        <v>14</v>
      </c>
      <c r="I431" s="3">
        <v>0.50977491571581557</v>
      </c>
      <c r="J431" s="4">
        <f>(Table3[[#This Row],[Price of One Product]]*Table3[[#This Row],[No of Products in one Sale]])-Table3[[#This Row],[Discount]]</f>
        <v>839.49022508428413</v>
      </c>
    </row>
    <row r="432" spans="1:10" x14ac:dyDescent="0.3">
      <c r="A432" t="s">
        <v>455</v>
      </c>
      <c r="B432" t="s">
        <v>55</v>
      </c>
      <c r="C432" s="1">
        <v>44731</v>
      </c>
      <c r="D432" t="s">
        <v>64</v>
      </c>
      <c r="E432" t="s">
        <v>66</v>
      </c>
      <c r="F432">
        <v>95</v>
      </c>
      <c r="G432" t="s">
        <v>1</v>
      </c>
      <c r="H432" s="2">
        <v>7</v>
      </c>
      <c r="I432" s="3">
        <v>0.99123744515485723</v>
      </c>
      <c r="J432" s="4">
        <f>(Table3[[#This Row],[Price of One Product]]*Table3[[#This Row],[No of Products in one Sale]])-Table3[[#This Row],[Discount]]</f>
        <v>664.00876255484513</v>
      </c>
    </row>
    <row r="433" spans="1:10" x14ac:dyDescent="0.3">
      <c r="A433" t="s">
        <v>456</v>
      </c>
      <c r="B433" t="s">
        <v>56</v>
      </c>
      <c r="C433" s="1">
        <v>44725</v>
      </c>
      <c r="D433" t="s">
        <v>59</v>
      </c>
      <c r="E433" t="s">
        <v>67</v>
      </c>
      <c r="F433">
        <v>72</v>
      </c>
      <c r="G433" t="s">
        <v>2</v>
      </c>
      <c r="H433" s="2">
        <v>5</v>
      </c>
      <c r="I433" s="3">
        <v>0.58001027642401182</v>
      </c>
      <c r="J433" s="4">
        <f>(Table3[[#This Row],[Price of One Product]]*Table3[[#This Row],[No of Products in one Sale]])-Table3[[#This Row],[Discount]]</f>
        <v>359.41998972357601</v>
      </c>
    </row>
    <row r="434" spans="1:10" x14ac:dyDescent="0.3">
      <c r="A434" t="s">
        <v>457</v>
      </c>
      <c r="B434" t="s">
        <v>51</v>
      </c>
      <c r="C434" s="1">
        <v>44753</v>
      </c>
      <c r="D434" t="s">
        <v>60</v>
      </c>
      <c r="E434" t="s">
        <v>67</v>
      </c>
      <c r="F434">
        <v>65</v>
      </c>
      <c r="G434" t="s">
        <v>0</v>
      </c>
      <c r="H434" s="2">
        <v>8</v>
      </c>
      <c r="I434" s="3">
        <v>0.20099809520802481</v>
      </c>
      <c r="J434" s="4">
        <f>(Table3[[#This Row],[Price of One Product]]*Table3[[#This Row],[No of Products in one Sale]])-Table3[[#This Row],[Discount]]</f>
        <v>519.79900190479202</v>
      </c>
    </row>
    <row r="435" spans="1:10" x14ac:dyDescent="0.3">
      <c r="A435" t="s">
        <v>458</v>
      </c>
      <c r="B435" t="s">
        <v>52</v>
      </c>
      <c r="C435" s="1">
        <v>44738</v>
      </c>
      <c r="D435" t="s">
        <v>61</v>
      </c>
      <c r="E435" t="s">
        <v>67</v>
      </c>
      <c r="F435">
        <v>250</v>
      </c>
      <c r="G435" t="s">
        <v>1</v>
      </c>
      <c r="H435" s="2">
        <v>3</v>
      </c>
      <c r="I435" s="3">
        <v>8.7589082057090373E-2</v>
      </c>
      <c r="J435" s="4">
        <f>(Table3[[#This Row],[Price of One Product]]*Table3[[#This Row],[No of Products in one Sale]])-Table3[[#This Row],[Discount]]</f>
        <v>749.91241091794291</v>
      </c>
    </row>
    <row r="436" spans="1:10" x14ac:dyDescent="0.3">
      <c r="A436" t="s">
        <v>459</v>
      </c>
      <c r="B436" t="s">
        <v>53</v>
      </c>
      <c r="C436" s="1">
        <v>44762</v>
      </c>
      <c r="D436" t="s">
        <v>62</v>
      </c>
      <c r="E436" t="s">
        <v>67</v>
      </c>
      <c r="F436">
        <v>130</v>
      </c>
      <c r="G436" t="s">
        <v>2</v>
      </c>
      <c r="H436" s="2">
        <v>4</v>
      </c>
      <c r="I436" s="3">
        <v>0.92203517798439572</v>
      </c>
      <c r="J436" s="4">
        <f>(Table3[[#This Row],[Price of One Product]]*Table3[[#This Row],[No of Products in one Sale]])-Table3[[#This Row],[Discount]]</f>
        <v>519.07796482201559</v>
      </c>
    </row>
    <row r="437" spans="1:10" x14ac:dyDescent="0.3">
      <c r="A437" t="s">
        <v>460</v>
      </c>
      <c r="B437" t="s">
        <v>54</v>
      </c>
      <c r="C437" s="1">
        <v>44756</v>
      </c>
      <c r="D437" t="s">
        <v>59</v>
      </c>
      <c r="E437" t="s">
        <v>67</v>
      </c>
      <c r="F437">
        <v>72</v>
      </c>
      <c r="G437" t="s">
        <v>0</v>
      </c>
      <c r="H437" s="2">
        <v>10</v>
      </c>
      <c r="I437" s="3">
        <v>0.40646951216415605</v>
      </c>
      <c r="J437" s="4">
        <f>(Table3[[#This Row],[Price of One Product]]*Table3[[#This Row],[No of Products in one Sale]])-Table3[[#This Row],[Discount]]</f>
        <v>719.59353048783589</v>
      </c>
    </row>
    <row r="438" spans="1:10" x14ac:dyDescent="0.3">
      <c r="A438" t="s">
        <v>461</v>
      </c>
      <c r="B438" t="s">
        <v>51</v>
      </c>
      <c r="C438" s="1">
        <v>44744</v>
      </c>
      <c r="D438" t="s">
        <v>60</v>
      </c>
      <c r="E438" t="s">
        <v>66</v>
      </c>
      <c r="F438">
        <v>65</v>
      </c>
      <c r="G438" t="s">
        <v>1</v>
      </c>
      <c r="H438" s="2">
        <v>4</v>
      </c>
      <c r="I438" s="3">
        <v>0.45522048494031297</v>
      </c>
      <c r="J438" s="4">
        <f>(Table3[[#This Row],[Price of One Product]]*Table3[[#This Row],[No of Products in one Sale]])-Table3[[#This Row],[Discount]]</f>
        <v>259.5447795150597</v>
      </c>
    </row>
    <row r="439" spans="1:10" x14ac:dyDescent="0.3">
      <c r="A439" t="s">
        <v>462</v>
      </c>
      <c r="B439" t="s">
        <v>52</v>
      </c>
      <c r="C439" s="1">
        <v>44753</v>
      </c>
      <c r="D439" t="s">
        <v>61</v>
      </c>
      <c r="E439" t="s">
        <v>67</v>
      </c>
      <c r="F439">
        <v>250</v>
      </c>
      <c r="G439" t="s">
        <v>2</v>
      </c>
      <c r="H439" s="2">
        <v>3</v>
      </c>
      <c r="I439" s="3">
        <v>0.45514828780898176</v>
      </c>
      <c r="J439" s="4">
        <f>(Table3[[#This Row],[Price of One Product]]*Table3[[#This Row],[No of Products in one Sale]])-Table3[[#This Row],[Discount]]</f>
        <v>749.54485171219096</v>
      </c>
    </row>
    <row r="440" spans="1:10" x14ac:dyDescent="0.3">
      <c r="A440" t="s">
        <v>463</v>
      </c>
      <c r="B440" t="s">
        <v>53</v>
      </c>
      <c r="C440" s="1">
        <v>44762</v>
      </c>
      <c r="D440" t="s">
        <v>62</v>
      </c>
      <c r="E440" t="s">
        <v>66</v>
      </c>
      <c r="F440">
        <v>130</v>
      </c>
      <c r="G440" t="s">
        <v>0</v>
      </c>
      <c r="H440" s="2">
        <v>2</v>
      </c>
      <c r="I440" s="3">
        <v>0.30126486834826394</v>
      </c>
      <c r="J440" s="4">
        <f>(Table3[[#This Row],[Price of One Product]]*Table3[[#This Row],[No of Products in one Sale]])-Table3[[#This Row],[Discount]]</f>
        <v>259.69873513165174</v>
      </c>
    </row>
    <row r="441" spans="1:10" x14ac:dyDescent="0.3">
      <c r="A441" t="s">
        <v>464</v>
      </c>
      <c r="B441" t="s">
        <v>54</v>
      </c>
      <c r="C441" s="1">
        <v>44740</v>
      </c>
      <c r="D441" t="s">
        <v>63</v>
      </c>
      <c r="E441" t="s">
        <v>67</v>
      </c>
      <c r="F441">
        <v>60</v>
      </c>
      <c r="G441" t="s">
        <v>1</v>
      </c>
      <c r="H441" s="2">
        <v>4</v>
      </c>
      <c r="I441" s="3">
        <v>0.22886312078587356</v>
      </c>
      <c r="J441" s="4">
        <f>(Table3[[#This Row],[Price of One Product]]*Table3[[#This Row],[No of Products in one Sale]])-Table3[[#This Row],[Discount]]</f>
        <v>239.77113687921414</v>
      </c>
    </row>
    <row r="442" spans="1:10" x14ac:dyDescent="0.3">
      <c r="A442" t="s">
        <v>465</v>
      </c>
      <c r="B442" t="s">
        <v>55</v>
      </c>
      <c r="C442" s="1">
        <v>44729</v>
      </c>
      <c r="D442" t="s">
        <v>59</v>
      </c>
      <c r="E442" t="s">
        <v>66</v>
      </c>
      <c r="F442">
        <v>72</v>
      </c>
      <c r="G442" t="s">
        <v>2</v>
      </c>
      <c r="H442" s="2">
        <v>4</v>
      </c>
      <c r="I442" s="3">
        <v>0.4885587902090005</v>
      </c>
      <c r="J442" s="4">
        <f>(Table3[[#This Row],[Price of One Product]]*Table3[[#This Row],[No of Products in one Sale]])-Table3[[#This Row],[Discount]]</f>
        <v>287.51144120979097</v>
      </c>
    </row>
    <row r="443" spans="1:10" x14ac:dyDescent="0.3">
      <c r="A443" t="s">
        <v>466</v>
      </c>
      <c r="B443" t="s">
        <v>51</v>
      </c>
      <c r="C443" s="1">
        <v>44727</v>
      </c>
      <c r="D443" t="s">
        <v>60</v>
      </c>
      <c r="E443" t="s">
        <v>67</v>
      </c>
      <c r="F443">
        <v>65</v>
      </c>
      <c r="G443" t="s">
        <v>0</v>
      </c>
      <c r="H443" s="2">
        <v>7</v>
      </c>
      <c r="I443" s="3">
        <v>0.88301012782394861</v>
      </c>
      <c r="J443" s="4">
        <f>(Table3[[#This Row],[Price of One Product]]*Table3[[#This Row],[No of Products in one Sale]])-Table3[[#This Row],[Discount]]</f>
        <v>454.11698987217608</v>
      </c>
    </row>
    <row r="444" spans="1:10" x14ac:dyDescent="0.3">
      <c r="A444" t="s">
        <v>467</v>
      </c>
      <c r="B444" t="s">
        <v>52</v>
      </c>
      <c r="C444" s="1">
        <v>44734</v>
      </c>
      <c r="D444" t="s">
        <v>61</v>
      </c>
      <c r="E444" t="s">
        <v>66</v>
      </c>
      <c r="F444">
        <v>250</v>
      </c>
      <c r="G444" t="s">
        <v>1</v>
      </c>
      <c r="H444" s="2">
        <v>2</v>
      </c>
      <c r="I444" s="3">
        <v>0.30705024398286174</v>
      </c>
      <c r="J444" s="4">
        <f>(Table3[[#This Row],[Price of One Product]]*Table3[[#This Row],[No of Products in one Sale]])-Table3[[#This Row],[Discount]]</f>
        <v>499.69294975601713</v>
      </c>
    </row>
    <row r="445" spans="1:10" x14ac:dyDescent="0.3">
      <c r="A445" t="s">
        <v>468</v>
      </c>
      <c r="B445" t="s">
        <v>53</v>
      </c>
      <c r="C445" s="1">
        <v>44744</v>
      </c>
      <c r="D445" t="s">
        <v>62</v>
      </c>
      <c r="E445" t="s">
        <v>67</v>
      </c>
      <c r="F445">
        <v>130</v>
      </c>
      <c r="G445" t="s">
        <v>2</v>
      </c>
      <c r="H445" s="2">
        <v>6</v>
      </c>
      <c r="I445" s="3">
        <v>0.85704939563753491</v>
      </c>
      <c r="J445" s="4">
        <f>(Table3[[#This Row],[Price of One Product]]*Table3[[#This Row],[No of Products in one Sale]])-Table3[[#This Row],[Discount]]</f>
        <v>779.14295060436245</v>
      </c>
    </row>
    <row r="446" spans="1:10" x14ac:dyDescent="0.3">
      <c r="A446" t="s">
        <v>469</v>
      </c>
      <c r="B446" t="s">
        <v>54</v>
      </c>
      <c r="C446" s="1">
        <v>44737</v>
      </c>
      <c r="D446" t="s">
        <v>59</v>
      </c>
      <c r="E446" t="s">
        <v>66</v>
      </c>
      <c r="F446">
        <v>72</v>
      </c>
      <c r="G446" t="s">
        <v>0</v>
      </c>
      <c r="H446" s="2">
        <v>9</v>
      </c>
      <c r="I446" s="3">
        <v>0.29159802445516347</v>
      </c>
      <c r="J446" s="4">
        <f>(Table3[[#This Row],[Price of One Product]]*Table3[[#This Row],[No of Products in one Sale]])-Table3[[#This Row],[Discount]]</f>
        <v>647.7084019755448</v>
      </c>
    </row>
    <row r="447" spans="1:10" x14ac:dyDescent="0.3">
      <c r="A447" t="s">
        <v>470</v>
      </c>
      <c r="B447" t="s">
        <v>51</v>
      </c>
      <c r="C447" s="1">
        <v>44752</v>
      </c>
      <c r="D447" t="s">
        <v>60</v>
      </c>
      <c r="E447" t="s">
        <v>67</v>
      </c>
      <c r="F447">
        <v>65</v>
      </c>
      <c r="G447" t="s">
        <v>1</v>
      </c>
      <c r="H447" s="2">
        <v>9</v>
      </c>
      <c r="I447" s="3">
        <v>0.2589445683285162</v>
      </c>
      <c r="J447" s="4">
        <f>(Table3[[#This Row],[Price of One Product]]*Table3[[#This Row],[No of Products in one Sale]])-Table3[[#This Row],[Discount]]</f>
        <v>584.7410554316715</v>
      </c>
    </row>
    <row r="448" spans="1:10" x14ac:dyDescent="0.3">
      <c r="A448" t="s">
        <v>471</v>
      </c>
      <c r="B448" t="s">
        <v>52</v>
      </c>
      <c r="C448" s="1">
        <v>44736</v>
      </c>
      <c r="D448" t="s">
        <v>61</v>
      </c>
      <c r="E448" t="s">
        <v>66</v>
      </c>
      <c r="F448">
        <v>250</v>
      </c>
      <c r="G448" t="s">
        <v>2</v>
      </c>
      <c r="H448" s="2">
        <v>2</v>
      </c>
      <c r="I448" s="3">
        <v>0.2954209948681138</v>
      </c>
      <c r="J448" s="4">
        <f>(Table3[[#This Row],[Price of One Product]]*Table3[[#This Row],[No of Products in one Sale]])-Table3[[#This Row],[Discount]]</f>
        <v>499.7045790051319</v>
      </c>
    </row>
    <row r="449" spans="1:10" x14ac:dyDescent="0.3">
      <c r="A449" t="s">
        <v>472</v>
      </c>
      <c r="B449" t="s">
        <v>53</v>
      </c>
      <c r="C449" s="1">
        <v>44752</v>
      </c>
      <c r="D449" t="s">
        <v>62</v>
      </c>
      <c r="E449" t="s">
        <v>67</v>
      </c>
      <c r="F449">
        <v>130</v>
      </c>
      <c r="G449" t="s">
        <v>0</v>
      </c>
      <c r="H449" s="2">
        <v>2</v>
      </c>
      <c r="I449" s="3">
        <v>7.4202009604403041E-2</v>
      </c>
      <c r="J449" s="4">
        <f>(Table3[[#This Row],[Price of One Product]]*Table3[[#This Row],[No of Products in one Sale]])-Table3[[#This Row],[Discount]]</f>
        <v>259.92579799039561</v>
      </c>
    </row>
    <row r="450" spans="1:10" x14ac:dyDescent="0.3">
      <c r="A450" t="s">
        <v>473</v>
      </c>
      <c r="B450" t="s">
        <v>54</v>
      </c>
      <c r="C450" s="1">
        <v>44759</v>
      </c>
      <c r="D450" t="s">
        <v>63</v>
      </c>
      <c r="E450" t="s">
        <v>66</v>
      </c>
      <c r="F450">
        <v>60</v>
      </c>
      <c r="G450" t="s">
        <v>1</v>
      </c>
      <c r="H450" s="2">
        <v>11</v>
      </c>
      <c r="I450" s="3">
        <v>3.9067003401354383E-2</v>
      </c>
      <c r="J450" s="4">
        <f>(Table3[[#This Row],[Price of One Product]]*Table3[[#This Row],[No of Products in one Sale]])-Table3[[#This Row],[Discount]]</f>
        <v>659.96093299659867</v>
      </c>
    </row>
    <row r="451" spans="1:10" x14ac:dyDescent="0.3">
      <c r="A451" t="s">
        <v>474</v>
      </c>
      <c r="B451" t="s">
        <v>55</v>
      </c>
      <c r="C451" s="1">
        <v>44763</v>
      </c>
      <c r="D451" t="s">
        <v>64</v>
      </c>
      <c r="E451" t="s">
        <v>67</v>
      </c>
      <c r="F451">
        <v>95</v>
      </c>
      <c r="G451" t="s">
        <v>2</v>
      </c>
      <c r="H451" s="2">
        <v>4</v>
      </c>
      <c r="I451" s="3">
        <v>0.76468504660372305</v>
      </c>
      <c r="J451" s="4">
        <f>(Table3[[#This Row],[Price of One Product]]*Table3[[#This Row],[No of Products in one Sale]])-Table3[[#This Row],[Discount]]</f>
        <v>379.23531495339626</v>
      </c>
    </row>
    <row r="452" spans="1:10" x14ac:dyDescent="0.3">
      <c r="A452" t="s">
        <v>475</v>
      </c>
      <c r="B452" t="s">
        <v>56</v>
      </c>
      <c r="C452" s="1">
        <v>44763</v>
      </c>
      <c r="D452" t="s">
        <v>59</v>
      </c>
      <c r="E452" t="s">
        <v>66</v>
      </c>
      <c r="F452">
        <v>72</v>
      </c>
      <c r="G452" t="s">
        <v>0</v>
      </c>
      <c r="H452" s="2">
        <v>11</v>
      </c>
      <c r="I452" s="3">
        <v>0.74867480539232067</v>
      </c>
      <c r="J452" s="4">
        <f>(Table3[[#This Row],[Price of One Product]]*Table3[[#This Row],[No of Products in one Sale]])-Table3[[#This Row],[Discount]]</f>
        <v>791.25132519460772</v>
      </c>
    </row>
    <row r="453" spans="1:10" x14ac:dyDescent="0.3">
      <c r="A453" t="s">
        <v>476</v>
      </c>
      <c r="B453" t="s">
        <v>51</v>
      </c>
      <c r="C453" s="1">
        <v>44750</v>
      </c>
      <c r="D453" t="s">
        <v>60</v>
      </c>
      <c r="E453" t="s">
        <v>67</v>
      </c>
      <c r="F453">
        <v>65</v>
      </c>
      <c r="G453" t="s">
        <v>1</v>
      </c>
      <c r="H453" s="2">
        <v>6</v>
      </c>
      <c r="I453" s="3">
        <v>0.69300939202757139</v>
      </c>
      <c r="J453" s="4">
        <f>(Table3[[#This Row],[Price of One Product]]*Table3[[#This Row],[No of Products in one Sale]])-Table3[[#This Row],[Discount]]</f>
        <v>389.30699060797241</v>
      </c>
    </row>
    <row r="454" spans="1:10" x14ac:dyDescent="0.3">
      <c r="A454" t="s">
        <v>477</v>
      </c>
      <c r="B454" t="s">
        <v>52</v>
      </c>
      <c r="C454" s="1">
        <v>44751</v>
      </c>
      <c r="D454" t="s">
        <v>61</v>
      </c>
      <c r="E454" t="s">
        <v>66</v>
      </c>
      <c r="F454">
        <v>250</v>
      </c>
      <c r="G454" t="s">
        <v>2</v>
      </c>
      <c r="H454" s="2">
        <v>1</v>
      </c>
      <c r="I454" s="3">
        <v>0.52937391222103747</v>
      </c>
      <c r="J454" s="4">
        <f>(Table3[[#This Row],[Price of One Product]]*Table3[[#This Row],[No of Products in one Sale]])-Table3[[#This Row],[Discount]]</f>
        <v>249.47062608777895</v>
      </c>
    </row>
    <row r="455" spans="1:10" x14ac:dyDescent="0.3">
      <c r="A455" t="s">
        <v>478</v>
      </c>
      <c r="B455" t="s">
        <v>53</v>
      </c>
      <c r="C455" s="1">
        <v>44736</v>
      </c>
      <c r="D455" t="s">
        <v>62</v>
      </c>
      <c r="E455" t="s">
        <v>67</v>
      </c>
      <c r="F455">
        <v>130</v>
      </c>
      <c r="G455" t="s">
        <v>0</v>
      </c>
      <c r="H455" s="2">
        <v>3</v>
      </c>
      <c r="I455" s="3">
        <v>0.32413514859934134</v>
      </c>
      <c r="J455" s="4">
        <f>(Table3[[#This Row],[Price of One Product]]*Table3[[#This Row],[No of Products in one Sale]])-Table3[[#This Row],[Discount]]</f>
        <v>389.67586485140066</v>
      </c>
    </row>
    <row r="456" spans="1:10" x14ac:dyDescent="0.3">
      <c r="A456" t="s">
        <v>479</v>
      </c>
      <c r="B456" t="s">
        <v>54</v>
      </c>
      <c r="C456" s="1">
        <v>44737</v>
      </c>
      <c r="D456" t="s">
        <v>59</v>
      </c>
      <c r="E456" t="s">
        <v>67</v>
      </c>
      <c r="F456">
        <v>72</v>
      </c>
      <c r="G456" t="s">
        <v>1</v>
      </c>
      <c r="H456" s="2">
        <v>4</v>
      </c>
      <c r="I456" s="3">
        <v>0.35907775149399723</v>
      </c>
      <c r="J456" s="4">
        <f>(Table3[[#This Row],[Price of One Product]]*Table3[[#This Row],[No of Products in one Sale]])-Table3[[#This Row],[Discount]]</f>
        <v>287.640922248506</v>
      </c>
    </row>
    <row r="457" spans="1:10" x14ac:dyDescent="0.3">
      <c r="A457" t="s">
        <v>480</v>
      </c>
      <c r="B457" t="s">
        <v>51</v>
      </c>
      <c r="C457" s="1">
        <v>44744</v>
      </c>
      <c r="D457" t="s">
        <v>60</v>
      </c>
      <c r="E457" t="s">
        <v>67</v>
      </c>
      <c r="F457">
        <v>65</v>
      </c>
      <c r="G457" t="s">
        <v>2</v>
      </c>
      <c r="H457" s="2">
        <v>6</v>
      </c>
      <c r="I457" s="3">
        <v>0.65908590258865696</v>
      </c>
      <c r="J457" s="4">
        <f>(Table3[[#This Row],[Price of One Product]]*Table3[[#This Row],[No of Products in one Sale]])-Table3[[#This Row],[Discount]]</f>
        <v>389.34091409741137</v>
      </c>
    </row>
    <row r="458" spans="1:10" x14ac:dyDescent="0.3">
      <c r="A458" t="s">
        <v>481</v>
      </c>
      <c r="B458" t="s">
        <v>52</v>
      </c>
      <c r="C458" s="1">
        <v>44735</v>
      </c>
      <c r="D458" t="s">
        <v>61</v>
      </c>
      <c r="E458" t="s">
        <v>67</v>
      </c>
      <c r="F458">
        <v>250</v>
      </c>
      <c r="G458" t="s">
        <v>0</v>
      </c>
      <c r="H458" s="2">
        <v>2</v>
      </c>
      <c r="I458" s="3">
        <v>0.51385178684784039</v>
      </c>
      <c r="J458" s="4">
        <f>(Table3[[#This Row],[Price of One Product]]*Table3[[#This Row],[No of Products in one Sale]])-Table3[[#This Row],[Discount]]</f>
        <v>499.48614821315215</v>
      </c>
    </row>
    <row r="459" spans="1:10" x14ac:dyDescent="0.3">
      <c r="A459" t="s">
        <v>482</v>
      </c>
      <c r="B459" t="s">
        <v>53</v>
      </c>
      <c r="C459" s="1">
        <v>44751</v>
      </c>
      <c r="D459" t="s">
        <v>62</v>
      </c>
      <c r="E459" t="s">
        <v>67</v>
      </c>
      <c r="F459">
        <v>130</v>
      </c>
      <c r="G459" t="s">
        <v>1</v>
      </c>
      <c r="H459" s="2">
        <v>4</v>
      </c>
      <c r="I459" s="3">
        <v>0.76665009072072687</v>
      </c>
      <c r="J459" s="4">
        <f>(Table3[[#This Row],[Price of One Product]]*Table3[[#This Row],[No of Products in one Sale]])-Table3[[#This Row],[Discount]]</f>
        <v>519.23334990927924</v>
      </c>
    </row>
    <row r="460" spans="1:10" x14ac:dyDescent="0.3">
      <c r="A460" t="s">
        <v>483</v>
      </c>
      <c r="B460" t="s">
        <v>54</v>
      </c>
      <c r="C460" s="1">
        <v>44726</v>
      </c>
      <c r="D460" t="s">
        <v>59</v>
      </c>
      <c r="E460" t="s">
        <v>66</v>
      </c>
      <c r="F460">
        <v>72</v>
      </c>
      <c r="G460" t="s">
        <v>2</v>
      </c>
      <c r="H460" s="2">
        <v>5</v>
      </c>
      <c r="I460" s="3">
        <v>0.73529214203054083</v>
      </c>
      <c r="J460" s="4">
        <f>(Table3[[#This Row],[Price of One Product]]*Table3[[#This Row],[No of Products in one Sale]])-Table3[[#This Row],[Discount]]</f>
        <v>359.26470785796948</v>
      </c>
    </row>
    <row r="461" spans="1:10" x14ac:dyDescent="0.3">
      <c r="A461" t="s">
        <v>484</v>
      </c>
      <c r="B461" t="s">
        <v>51</v>
      </c>
      <c r="C461" s="1">
        <v>44749</v>
      </c>
      <c r="D461" t="s">
        <v>60</v>
      </c>
      <c r="E461" t="s">
        <v>67</v>
      </c>
      <c r="F461">
        <v>65</v>
      </c>
      <c r="G461" t="s">
        <v>0</v>
      </c>
      <c r="H461" s="2">
        <v>9</v>
      </c>
      <c r="I461" s="3">
        <v>0.44567996518569519</v>
      </c>
      <c r="J461" s="4">
        <f>(Table3[[#This Row],[Price of One Product]]*Table3[[#This Row],[No of Products in one Sale]])-Table3[[#This Row],[Discount]]</f>
        <v>584.55432003481428</v>
      </c>
    </row>
    <row r="462" spans="1:10" x14ac:dyDescent="0.3">
      <c r="A462" t="s">
        <v>485</v>
      </c>
      <c r="B462" t="s">
        <v>52</v>
      </c>
      <c r="C462" s="1">
        <v>44734</v>
      </c>
      <c r="D462" t="s">
        <v>61</v>
      </c>
      <c r="E462" t="s">
        <v>66</v>
      </c>
      <c r="F462">
        <v>250</v>
      </c>
      <c r="G462" t="s">
        <v>0</v>
      </c>
      <c r="H462" s="2">
        <v>2</v>
      </c>
      <c r="I462" s="3">
        <v>0.80491760131950119</v>
      </c>
      <c r="J462" s="4">
        <f>(Table3[[#This Row],[Price of One Product]]*Table3[[#This Row],[No of Products in one Sale]])-Table3[[#This Row],[Discount]]</f>
        <v>499.19508239868048</v>
      </c>
    </row>
    <row r="463" spans="1:10" x14ac:dyDescent="0.3">
      <c r="A463" t="s">
        <v>486</v>
      </c>
      <c r="B463" t="s">
        <v>53</v>
      </c>
      <c r="C463" s="1">
        <v>44726</v>
      </c>
      <c r="D463" t="s">
        <v>62</v>
      </c>
      <c r="E463" t="s">
        <v>67</v>
      </c>
      <c r="F463">
        <v>130</v>
      </c>
      <c r="G463" t="s">
        <v>1</v>
      </c>
      <c r="H463" s="2">
        <v>4</v>
      </c>
      <c r="I463" s="3">
        <v>0.63252724233750568</v>
      </c>
      <c r="J463" s="4">
        <f>(Table3[[#This Row],[Price of One Product]]*Table3[[#This Row],[No of Products in one Sale]])-Table3[[#This Row],[Discount]]</f>
        <v>519.36747275766254</v>
      </c>
    </row>
    <row r="464" spans="1:10" x14ac:dyDescent="0.3">
      <c r="A464" t="s">
        <v>487</v>
      </c>
      <c r="B464" t="s">
        <v>54</v>
      </c>
      <c r="C464" s="1">
        <v>44743</v>
      </c>
      <c r="D464" t="s">
        <v>59</v>
      </c>
      <c r="E464" t="s">
        <v>66</v>
      </c>
      <c r="F464">
        <v>72</v>
      </c>
      <c r="G464" t="s">
        <v>2</v>
      </c>
      <c r="H464" s="2">
        <v>12</v>
      </c>
      <c r="I464" s="3">
        <v>0.54172415841062738</v>
      </c>
      <c r="J464" s="4">
        <f>(Table3[[#This Row],[Price of One Product]]*Table3[[#This Row],[No of Products in one Sale]])-Table3[[#This Row],[Discount]]</f>
        <v>863.4582758415894</v>
      </c>
    </row>
    <row r="465" spans="1:10" x14ac:dyDescent="0.3">
      <c r="A465" t="s">
        <v>488</v>
      </c>
      <c r="B465" t="s">
        <v>51</v>
      </c>
      <c r="C465" s="1">
        <v>44742</v>
      </c>
      <c r="D465" t="s">
        <v>60</v>
      </c>
      <c r="E465" t="s">
        <v>67</v>
      </c>
      <c r="F465">
        <v>65</v>
      </c>
      <c r="G465" t="s">
        <v>0</v>
      </c>
      <c r="H465" s="2">
        <v>11</v>
      </c>
      <c r="I465" s="3">
        <v>0.51449622999670686</v>
      </c>
      <c r="J465" s="4">
        <f>(Table3[[#This Row],[Price of One Product]]*Table3[[#This Row],[No of Products in one Sale]])-Table3[[#This Row],[Discount]]</f>
        <v>714.48550377000333</v>
      </c>
    </row>
    <row r="466" spans="1:10" x14ac:dyDescent="0.3">
      <c r="A466" t="s">
        <v>489</v>
      </c>
      <c r="B466" t="s">
        <v>52</v>
      </c>
      <c r="C466" s="1">
        <v>44747</v>
      </c>
      <c r="D466" t="s">
        <v>61</v>
      </c>
      <c r="E466" t="s">
        <v>66</v>
      </c>
      <c r="F466">
        <v>250</v>
      </c>
      <c r="G466" t="s">
        <v>1</v>
      </c>
      <c r="H466" s="2">
        <v>2</v>
      </c>
      <c r="I466" s="3">
        <v>0.23752502847518697</v>
      </c>
      <c r="J466" s="4">
        <f>(Table3[[#This Row],[Price of One Product]]*Table3[[#This Row],[No of Products in one Sale]])-Table3[[#This Row],[Discount]]</f>
        <v>499.7624749715248</v>
      </c>
    </row>
    <row r="467" spans="1:10" x14ac:dyDescent="0.3">
      <c r="A467" t="s">
        <v>490</v>
      </c>
      <c r="B467" t="s">
        <v>53</v>
      </c>
      <c r="C467" s="1">
        <v>44764</v>
      </c>
      <c r="D467" t="s">
        <v>62</v>
      </c>
      <c r="E467" t="s">
        <v>67</v>
      </c>
      <c r="F467">
        <v>130</v>
      </c>
      <c r="G467" t="s">
        <v>2</v>
      </c>
      <c r="H467" s="2">
        <v>4</v>
      </c>
      <c r="I467" s="3">
        <v>0.99120610081358274</v>
      </c>
      <c r="J467" s="4">
        <f>(Table3[[#This Row],[Price of One Product]]*Table3[[#This Row],[No of Products in one Sale]])-Table3[[#This Row],[Discount]]</f>
        <v>519.00879389918646</v>
      </c>
    </row>
    <row r="468" spans="1:10" x14ac:dyDescent="0.3">
      <c r="A468" t="s">
        <v>491</v>
      </c>
      <c r="B468" t="s">
        <v>54</v>
      </c>
      <c r="C468" s="1">
        <v>44735</v>
      </c>
      <c r="D468" t="s">
        <v>63</v>
      </c>
      <c r="E468" t="s">
        <v>66</v>
      </c>
      <c r="F468">
        <v>60</v>
      </c>
      <c r="G468" t="s">
        <v>0</v>
      </c>
      <c r="H468" s="2">
        <v>9</v>
      </c>
      <c r="I468" s="3">
        <v>0.59705890981846566</v>
      </c>
      <c r="J468" s="4">
        <f>(Table3[[#This Row],[Price of One Product]]*Table3[[#This Row],[No of Products in one Sale]])-Table3[[#This Row],[Discount]]</f>
        <v>539.40294109018157</v>
      </c>
    </row>
    <row r="469" spans="1:10" x14ac:dyDescent="0.3">
      <c r="A469" t="s">
        <v>492</v>
      </c>
      <c r="B469" t="s">
        <v>55</v>
      </c>
      <c r="C469" s="1">
        <v>44737</v>
      </c>
      <c r="D469" t="s">
        <v>59</v>
      </c>
      <c r="E469" t="s">
        <v>67</v>
      </c>
      <c r="F469">
        <v>72</v>
      </c>
      <c r="G469" t="s">
        <v>1</v>
      </c>
      <c r="H469" s="2">
        <v>3</v>
      </c>
      <c r="I469" s="3">
        <v>0.47137791834027587</v>
      </c>
      <c r="J469" s="4">
        <f>(Table3[[#This Row],[Price of One Product]]*Table3[[#This Row],[No of Products in one Sale]])-Table3[[#This Row],[Discount]]</f>
        <v>215.52862208165973</v>
      </c>
    </row>
    <row r="470" spans="1:10" x14ac:dyDescent="0.3">
      <c r="A470" t="s">
        <v>493</v>
      </c>
      <c r="B470" t="s">
        <v>51</v>
      </c>
      <c r="C470" s="1">
        <v>44749</v>
      </c>
      <c r="D470" t="s">
        <v>60</v>
      </c>
      <c r="E470" t="s">
        <v>66</v>
      </c>
      <c r="F470">
        <v>65</v>
      </c>
      <c r="G470" t="s">
        <v>2</v>
      </c>
      <c r="H470" s="2">
        <v>14</v>
      </c>
      <c r="I470" s="3">
        <v>0.41181740780767351</v>
      </c>
      <c r="J470" s="4">
        <f>(Table3[[#This Row],[Price of One Product]]*Table3[[#This Row],[No of Products in one Sale]])-Table3[[#This Row],[Discount]]</f>
        <v>909.58818259219231</v>
      </c>
    </row>
    <row r="471" spans="1:10" x14ac:dyDescent="0.3">
      <c r="A471" t="s">
        <v>494</v>
      </c>
      <c r="B471" t="s">
        <v>52</v>
      </c>
      <c r="C471" s="1">
        <v>44729</v>
      </c>
      <c r="D471" t="s">
        <v>61</v>
      </c>
      <c r="E471" t="s">
        <v>67</v>
      </c>
      <c r="F471">
        <v>250</v>
      </c>
      <c r="G471" t="s">
        <v>0</v>
      </c>
      <c r="H471" s="2">
        <v>3</v>
      </c>
      <c r="I471" s="3">
        <v>7.2014892327985192E-2</v>
      </c>
      <c r="J471" s="4">
        <f>(Table3[[#This Row],[Price of One Product]]*Table3[[#This Row],[No of Products in one Sale]])-Table3[[#This Row],[Discount]]</f>
        <v>749.92798510767204</v>
      </c>
    </row>
    <row r="472" spans="1:10" x14ac:dyDescent="0.3">
      <c r="A472" t="s">
        <v>495</v>
      </c>
      <c r="B472" t="s">
        <v>53</v>
      </c>
      <c r="C472" s="1">
        <v>44738</v>
      </c>
      <c r="D472" t="s">
        <v>62</v>
      </c>
      <c r="E472" t="s">
        <v>66</v>
      </c>
      <c r="F472">
        <v>130</v>
      </c>
      <c r="G472" t="s">
        <v>1</v>
      </c>
      <c r="H472" s="2">
        <v>7</v>
      </c>
      <c r="I472" s="3">
        <v>0.28425228592980878</v>
      </c>
      <c r="J472" s="4">
        <f>(Table3[[#This Row],[Price of One Product]]*Table3[[#This Row],[No of Products in one Sale]])-Table3[[#This Row],[Discount]]</f>
        <v>909.71574771407018</v>
      </c>
    </row>
    <row r="473" spans="1:10" x14ac:dyDescent="0.3">
      <c r="A473" t="s">
        <v>496</v>
      </c>
      <c r="B473" t="s">
        <v>54</v>
      </c>
      <c r="C473" s="1">
        <v>44740</v>
      </c>
      <c r="D473" t="s">
        <v>59</v>
      </c>
      <c r="E473" t="s">
        <v>67</v>
      </c>
      <c r="F473">
        <v>72</v>
      </c>
      <c r="G473" t="s">
        <v>2</v>
      </c>
      <c r="H473" s="2">
        <v>3</v>
      </c>
      <c r="I473" s="3">
        <v>0.51473636278960266</v>
      </c>
      <c r="J473" s="4">
        <f>(Table3[[#This Row],[Price of One Product]]*Table3[[#This Row],[No of Products in one Sale]])-Table3[[#This Row],[Discount]]</f>
        <v>215.48526363721041</v>
      </c>
    </row>
    <row r="474" spans="1:10" x14ac:dyDescent="0.3">
      <c r="A474" t="s">
        <v>497</v>
      </c>
      <c r="B474" t="s">
        <v>51</v>
      </c>
      <c r="C474" s="1">
        <v>44755</v>
      </c>
      <c r="D474" t="s">
        <v>60</v>
      </c>
      <c r="E474" t="s">
        <v>66</v>
      </c>
      <c r="F474">
        <v>65</v>
      </c>
      <c r="G474" t="s">
        <v>0</v>
      </c>
      <c r="H474" s="2">
        <v>7</v>
      </c>
      <c r="I474" s="3">
        <v>0.84360853679959769</v>
      </c>
      <c r="J474" s="4">
        <f>(Table3[[#This Row],[Price of One Product]]*Table3[[#This Row],[No of Products in one Sale]])-Table3[[#This Row],[Discount]]</f>
        <v>454.15639146320041</v>
      </c>
    </row>
    <row r="475" spans="1:10" x14ac:dyDescent="0.3">
      <c r="A475" t="s">
        <v>498</v>
      </c>
      <c r="B475" t="s">
        <v>52</v>
      </c>
      <c r="C475" s="1">
        <v>44755</v>
      </c>
      <c r="D475" t="s">
        <v>61</v>
      </c>
      <c r="E475" t="s">
        <v>67</v>
      </c>
      <c r="F475">
        <v>250</v>
      </c>
      <c r="G475" t="s">
        <v>1</v>
      </c>
      <c r="H475" s="2">
        <v>3</v>
      </c>
      <c r="I475" s="3">
        <v>0.79410595242208182</v>
      </c>
      <c r="J475" s="4">
        <f>(Table3[[#This Row],[Price of One Product]]*Table3[[#This Row],[No of Products in one Sale]])-Table3[[#This Row],[Discount]]</f>
        <v>749.20589404757789</v>
      </c>
    </row>
    <row r="476" spans="1:10" x14ac:dyDescent="0.3">
      <c r="A476" t="s">
        <v>499</v>
      </c>
      <c r="B476" t="s">
        <v>53</v>
      </c>
      <c r="C476" s="1">
        <v>44764</v>
      </c>
      <c r="D476" t="s">
        <v>62</v>
      </c>
      <c r="E476" t="s">
        <v>66</v>
      </c>
      <c r="F476">
        <v>130</v>
      </c>
      <c r="G476" t="s">
        <v>2</v>
      </c>
      <c r="H476" s="2">
        <v>4</v>
      </c>
      <c r="I476" s="3">
        <v>0.43743103077150813</v>
      </c>
      <c r="J476" s="4">
        <f>(Table3[[#This Row],[Price of One Product]]*Table3[[#This Row],[No of Products in one Sale]])-Table3[[#This Row],[Discount]]</f>
        <v>519.56256896922844</v>
      </c>
    </row>
    <row r="477" spans="1:10" x14ac:dyDescent="0.3">
      <c r="A477" t="s">
        <v>500</v>
      </c>
      <c r="B477" t="s">
        <v>54</v>
      </c>
      <c r="C477" s="1">
        <v>44735</v>
      </c>
      <c r="D477" t="s">
        <v>63</v>
      </c>
      <c r="E477" t="s">
        <v>67</v>
      </c>
      <c r="F477">
        <v>60</v>
      </c>
      <c r="G477" t="s">
        <v>0</v>
      </c>
      <c r="H477" s="2">
        <v>7</v>
      </c>
      <c r="I477" s="3">
        <v>0.62414285851347806</v>
      </c>
      <c r="J477" s="4">
        <f>(Table3[[#This Row],[Price of One Product]]*Table3[[#This Row],[No of Products in one Sale]])-Table3[[#This Row],[Discount]]</f>
        <v>419.37585714148651</v>
      </c>
    </row>
    <row r="478" spans="1:10" x14ac:dyDescent="0.3">
      <c r="A478" t="s">
        <v>501</v>
      </c>
      <c r="B478" t="s">
        <v>55</v>
      </c>
      <c r="C478" s="1">
        <v>44734</v>
      </c>
      <c r="D478" t="s">
        <v>64</v>
      </c>
      <c r="E478" t="s">
        <v>67</v>
      </c>
      <c r="F478">
        <v>95</v>
      </c>
      <c r="G478" t="s">
        <v>1</v>
      </c>
      <c r="H478" s="2">
        <v>4</v>
      </c>
      <c r="I478" s="3">
        <v>0.8866455913476804</v>
      </c>
      <c r="J478" s="4">
        <f>(Table3[[#This Row],[Price of One Product]]*Table3[[#This Row],[No of Products in one Sale]])-Table3[[#This Row],[Discount]]</f>
        <v>379.1133544086523</v>
      </c>
    </row>
    <row r="479" spans="1:10" x14ac:dyDescent="0.3">
      <c r="A479" t="s">
        <v>502</v>
      </c>
      <c r="B479" t="s">
        <v>56</v>
      </c>
      <c r="C479" s="1">
        <v>44728</v>
      </c>
      <c r="D479" t="s">
        <v>59</v>
      </c>
      <c r="E479" t="s">
        <v>67</v>
      </c>
      <c r="F479">
        <v>72</v>
      </c>
      <c r="G479" t="s">
        <v>2</v>
      </c>
      <c r="H479" s="2">
        <v>6</v>
      </c>
      <c r="I479" s="3">
        <v>0.18359273290431566</v>
      </c>
      <c r="J479" s="4">
        <f>(Table3[[#This Row],[Price of One Product]]*Table3[[#This Row],[No of Products in one Sale]])-Table3[[#This Row],[Discount]]</f>
        <v>431.81640726709571</v>
      </c>
    </row>
    <row r="480" spans="1:10" x14ac:dyDescent="0.3">
      <c r="A480" t="s">
        <v>503</v>
      </c>
      <c r="B480" t="s">
        <v>51</v>
      </c>
      <c r="C480" s="1">
        <v>44739</v>
      </c>
      <c r="D480" t="s">
        <v>60</v>
      </c>
      <c r="E480" t="s">
        <v>67</v>
      </c>
      <c r="F480">
        <v>65</v>
      </c>
      <c r="G480" t="s">
        <v>0</v>
      </c>
      <c r="H480" s="2">
        <v>5</v>
      </c>
      <c r="I480" s="3">
        <v>0.15906506531321729</v>
      </c>
      <c r="J480" s="4">
        <f>(Table3[[#This Row],[Price of One Product]]*Table3[[#This Row],[No of Products in one Sale]])-Table3[[#This Row],[Discount]]</f>
        <v>324.8409349346868</v>
      </c>
    </row>
    <row r="481" spans="1:10" x14ac:dyDescent="0.3">
      <c r="A481" t="s">
        <v>504</v>
      </c>
      <c r="B481" t="s">
        <v>52</v>
      </c>
      <c r="C481" s="1">
        <v>44765</v>
      </c>
      <c r="D481" t="s">
        <v>61</v>
      </c>
      <c r="E481" t="s">
        <v>67</v>
      </c>
      <c r="F481">
        <v>250</v>
      </c>
      <c r="G481" t="s">
        <v>1</v>
      </c>
      <c r="H481" s="2">
        <v>2</v>
      </c>
      <c r="I481" s="3">
        <v>0.29466747014106187</v>
      </c>
      <c r="J481" s="4">
        <f>(Table3[[#This Row],[Price of One Product]]*Table3[[#This Row],[No of Products in one Sale]])-Table3[[#This Row],[Discount]]</f>
        <v>499.70533252985894</v>
      </c>
    </row>
    <row r="482" spans="1:10" x14ac:dyDescent="0.3">
      <c r="A482" t="s">
        <v>505</v>
      </c>
      <c r="B482" t="s">
        <v>53</v>
      </c>
      <c r="C482" s="1">
        <v>44740</v>
      </c>
      <c r="D482" t="s">
        <v>62</v>
      </c>
      <c r="E482" t="s">
        <v>66</v>
      </c>
      <c r="F482">
        <v>130</v>
      </c>
      <c r="G482" t="s">
        <v>2</v>
      </c>
      <c r="H482" s="2">
        <v>2</v>
      </c>
      <c r="I482" s="3">
        <v>0.35414118605930123</v>
      </c>
      <c r="J482" s="4">
        <f>(Table3[[#This Row],[Price of One Product]]*Table3[[#This Row],[No of Products in one Sale]])-Table3[[#This Row],[Discount]]</f>
        <v>259.64585881394072</v>
      </c>
    </row>
    <row r="483" spans="1:10" x14ac:dyDescent="0.3">
      <c r="A483" t="s">
        <v>506</v>
      </c>
      <c r="B483" t="s">
        <v>54</v>
      </c>
      <c r="C483" s="1">
        <v>44734</v>
      </c>
      <c r="D483" t="s">
        <v>59</v>
      </c>
      <c r="E483" t="s">
        <v>67</v>
      </c>
      <c r="F483">
        <v>72</v>
      </c>
      <c r="G483" t="s">
        <v>0</v>
      </c>
      <c r="H483" s="2">
        <v>4</v>
      </c>
      <c r="I483" s="3">
        <v>0.40463831594750665</v>
      </c>
      <c r="J483" s="4">
        <f>(Table3[[#This Row],[Price of One Product]]*Table3[[#This Row],[No of Products in one Sale]])-Table3[[#This Row],[Discount]]</f>
        <v>287.59536168405248</v>
      </c>
    </row>
    <row r="484" spans="1:10" x14ac:dyDescent="0.3">
      <c r="A484" t="s">
        <v>507</v>
      </c>
      <c r="B484" t="s">
        <v>51</v>
      </c>
      <c r="C484" s="1">
        <v>44727</v>
      </c>
      <c r="D484" t="s">
        <v>60</v>
      </c>
      <c r="E484" t="s">
        <v>66</v>
      </c>
      <c r="F484">
        <v>65</v>
      </c>
      <c r="G484" t="s">
        <v>1</v>
      </c>
      <c r="H484" s="2">
        <v>10</v>
      </c>
      <c r="I484" s="3">
        <v>0.56828189926736972</v>
      </c>
      <c r="J484" s="4">
        <f>(Table3[[#This Row],[Price of One Product]]*Table3[[#This Row],[No of Products in one Sale]])-Table3[[#This Row],[Discount]]</f>
        <v>649.43171810073261</v>
      </c>
    </row>
    <row r="485" spans="1:10" x14ac:dyDescent="0.3">
      <c r="A485" t="s">
        <v>508</v>
      </c>
      <c r="B485" t="s">
        <v>52</v>
      </c>
      <c r="C485" s="1">
        <v>44737</v>
      </c>
      <c r="D485" t="s">
        <v>61</v>
      </c>
      <c r="E485" t="s">
        <v>67</v>
      </c>
      <c r="F485">
        <v>250</v>
      </c>
      <c r="G485" t="s">
        <v>2</v>
      </c>
      <c r="H485" s="2">
        <v>1</v>
      </c>
      <c r="I485" s="3">
        <v>0.68415839920111321</v>
      </c>
      <c r="J485" s="4">
        <f>(Table3[[#This Row],[Price of One Product]]*Table3[[#This Row],[No of Products in one Sale]])-Table3[[#This Row],[Discount]]</f>
        <v>249.31584160079888</v>
      </c>
    </row>
    <row r="486" spans="1:10" x14ac:dyDescent="0.3">
      <c r="A486" t="s">
        <v>509</v>
      </c>
      <c r="B486" t="s">
        <v>53</v>
      </c>
      <c r="C486" s="1">
        <v>44747</v>
      </c>
      <c r="D486" t="s">
        <v>62</v>
      </c>
      <c r="E486" t="s">
        <v>66</v>
      </c>
      <c r="F486">
        <v>130</v>
      </c>
      <c r="G486" t="s">
        <v>0</v>
      </c>
      <c r="H486" s="2">
        <v>6</v>
      </c>
      <c r="I486" s="3">
        <v>0.47900916747418532</v>
      </c>
      <c r="J486" s="4">
        <f>(Table3[[#This Row],[Price of One Product]]*Table3[[#This Row],[No of Products in one Sale]])-Table3[[#This Row],[Discount]]</f>
        <v>779.52099083252585</v>
      </c>
    </row>
    <row r="487" spans="1:10" x14ac:dyDescent="0.3">
      <c r="A487" t="s">
        <v>510</v>
      </c>
      <c r="B487" t="s">
        <v>54</v>
      </c>
      <c r="C487" s="1">
        <v>44754</v>
      </c>
      <c r="D487" t="s">
        <v>63</v>
      </c>
      <c r="E487" t="s">
        <v>67</v>
      </c>
      <c r="F487">
        <v>60</v>
      </c>
      <c r="G487" t="s">
        <v>1</v>
      </c>
      <c r="H487" s="2">
        <v>4</v>
      </c>
      <c r="I487" s="3">
        <v>0.89045722746488731</v>
      </c>
      <c r="J487" s="4">
        <f>(Table3[[#This Row],[Price of One Product]]*Table3[[#This Row],[No of Products in one Sale]])-Table3[[#This Row],[Discount]]</f>
        <v>239.10954277253512</v>
      </c>
    </row>
    <row r="488" spans="1:10" x14ac:dyDescent="0.3">
      <c r="A488" t="s">
        <v>511</v>
      </c>
      <c r="B488" t="s">
        <v>55</v>
      </c>
      <c r="C488" s="1">
        <v>44760</v>
      </c>
      <c r="D488" t="s">
        <v>59</v>
      </c>
      <c r="E488" t="s">
        <v>66</v>
      </c>
      <c r="F488">
        <v>72</v>
      </c>
      <c r="G488" t="s">
        <v>2</v>
      </c>
      <c r="H488" s="2">
        <v>7</v>
      </c>
      <c r="I488" s="3">
        <v>0.50949971880500122</v>
      </c>
      <c r="J488" s="4">
        <f>(Table3[[#This Row],[Price of One Product]]*Table3[[#This Row],[No of Products in one Sale]])-Table3[[#This Row],[Discount]]</f>
        <v>503.49050028119501</v>
      </c>
    </row>
    <row r="489" spans="1:10" x14ac:dyDescent="0.3">
      <c r="A489" t="s">
        <v>512</v>
      </c>
      <c r="B489" t="s">
        <v>51</v>
      </c>
      <c r="C489" s="1">
        <v>44759</v>
      </c>
      <c r="D489" t="s">
        <v>60</v>
      </c>
      <c r="E489" t="s">
        <v>67</v>
      </c>
      <c r="F489">
        <v>65</v>
      </c>
      <c r="G489" t="s">
        <v>0</v>
      </c>
      <c r="H489" s="2">
        <v>12</v>
      </c>
      <c r="I489" s="3">
        <v>0.78361211804502018</v>
      </c>
      <c r="J489" s="4">
        <f>(Table3[[#This Row],[Price of One Product]]*Table3[[#This Row],[No of Products in one Sale]])-Table3[[#This Row],[Discount]]</f>
        <v>779.21638788195503</v>
      </c>
    </row>
    <row r="490" spans="1:10" x14ac:dyDescent="0.3">
      <c r="A490" t="s">
        <v>513</v>
      </c>
      <c r="B490" t="s">
        <v>52</v>
      </c>
      <c r="C490" s="1">
        <v>44735</v>
      </c>
      <c r="D490" t="s">
        <v>61</v>
      </c>
      <c r="E490" t="s">
        <v>66</v>
      </c>
      <c r="F490">
        <v>250</v>
      </c>
      <c r="G490" t="s">
        <v>1</v>
      </c>
      <c r="H490" s="2">
        <v>1</v>
      </c>
      <c r="I490" s="3">
        <v>6.596920154790531E-2</v>
      </c>
      <c r="J490" s="4">
        <f>(Table3[[#This Row],[Price of One Product]]*Table3[[#This Row],[No of Products in one Sale]])-Table3[[#This Row],[Discount]]</f>
        <v>249.93403079845208</v>
      </c>
    </row>
    <row r="491" spans="1:10" x14ac:dyDescent="0.3">
      <c r="A491" t="s">
        <v>514</v>
      </c>
      <c r="B491" t="s">
        <v>53</v>
      </c>
      <c r="C491" s="1">
        <v>44734</v>
      </c>
      <c r="D491" t="s">
        <v>62</v>
      </c>
      <c r="E491" t="s">
        <v>67</v>
      </c>
      <c r="F491">
        <v>130</v>
      </c>
      <c r="G491" t="s">
        <v>2</v>
      </c>
      <c r="H491" s="2">
        <v>6</v>
      </c>
      <c r="I491" s="3">
        <v>0.17858014910494857</v>
      </c>
      <c r="J491" s="4">
        <f>(Table3[[#This Row],[Price of One Product]]*Table3[[#This Row],[No of Products in one Sale]])-Table3[[#This Row],[Discount]]</f>
        <v>779.82141985089504</v>
      </c>
    </row>
    <row r="492" spans="1:10" x14ac:dyDescent="0.3">
      <c r="A492" t="s">
        <v>515</v>
      </c>
      <c r="B492" t="s">
        <v>54</v>
      </c>
      <c r="C492" s="1">
        <v>44753</v>
      </c>
      <c r="D492" t="s">
        <v>59</v>
      </c>
      <c r="E492" t="s">
        <v>66</v>
      </c>
      <c r="F492">
        <v>72</v>
      </c>
      <c r="G492" t="s">
        <v>0</v>
      </c>
      <c r="H492" s="2">
        <v>4</v>
      </c>
      <c r="I492" s="3">
        <v>0.43587855952805254</v>
      </c>
      <c r="J492" s="4">
        <f>(Table3[[#This Row],[Price of One Product]]*Table3[[#This Row],[No of Products in one Sale]])-Table3[[#This Row],[Discount]]</f>
        <v>287.56412144047192</v>
      </c>
    </row>
    <row r="493" spans="1:10" x14ac:dyDescent="0.3">
      <c r="A493" t="s">
        <v>516</v>
      </c>
      <c r="B493" t="s">
        <v>51</v>
      </c>
      <c r="C493" s="1">
        <v>44739</v>
      </c>
      <c r="D493" t="s">
        <v>60</v>
      </c>
      <c r="E493" t="s">
        <v>67</v>
      </c>
      <c r="F493">
        <v>65</v>
      </c>
      <c r="G493" t="s">
        <v>1</v>
      </c>
      <c r="H493" s="2">
        <v>10</v>
      </c>
      <c r="I493" s="3">
        <v>0.74040338644493453</v>
      </c>
      <c r="J493" s="4">
        <f>(Table3[[#This Row],[Price of One Product]]*Table3[[#This Row],[No of Products in one Sale]])-Table3[[#This Row],[Discount]]</f>
        <v>649.25959661355512</v>
      </c>
    </row>
    <row r="494" spans="1:10" x14ac:dyDescent="0.3">
      <c r="A494" t="s">
        <v>517</v>
      </c>
      <c r="B494" t="s">
        <v>52</v>
      </c>
      <c r="C494" s="1">
        <v>44740</v>
      </c>
      <c r="D494" t="s">
        <v>61</v>
      </c>
      <c r="E494" t="s">
        <v>66</v>
      </c>
      <c r="F494">
        <v>250</v>
      </c>
      <c r="G494" t="s">
        <v>2</v>
      </c>
      <c r="H494" s="2">
        <v>4</v>
      </c>
      <c r="I494" s="3">
        <v>0.54109571345744756</v>
      </c>
      <c r="J494" s="4">
        <f>(Table3[[#This Row],[Price of One Product]]*Table3[[#This Row],[No of Products in one Sale]])-Table3[[#This Row],[Discount]]</f>
        <v>999.45890428654252</v>
      </c>
    </row>
    <row r="495" spans="1:10" x14ac:dyDescent="0.3">
      <c r="A495" t="s">
        <v>518</v>
      </c>
      <c r="B495" t="s">
        <v>53</v>
      </c>
      <c r="C495" s="1">
        <v>44748</v>
      </c>
      <c r="D495" t="s">
        <v>62</v>
      </c>
      <c r="E495" t="s">
        <v>67</v>
      </c>
      <c r="F495">
        <v>130</v>
      </c>
      <c r="G495" t="s">
        <v>0</v>
      </c>
      <c r="H495" s="2">
        <v>3</v>
      </c>
      <c r="I495" s="3">
        <v>0.71271172701355112</v>
      </c>
      <c r="J495" s="4">
        <f>(Table3[[#This Row],[Price of One Product]]*Table3[[#This Row],[No of Products in one Sale]])-Table3[[#This Row],[Discount]]</f>
        <v>389.28728827298647</v>
      </c>
    </row>
    <row r="496" spans="1:10" x14ac:dyDescent="0.3">
      <c r="A496" t="s">
        <v>519</v>
      </c>
      <c r="B496" t="s">
        <v>54</v>
      </c>
      <c r="C496" s="1">
        <v>44731</v>
      </c>
      <c r="D496" t="s">
        <v>63</v>
      </c>
      <c r="E496" t="s">
        <v>66</v>
      </c>
      <c r="F496">
        <v>60</v>
      </c>
      <c r="G496" t="s">
        <v>1</v>
      </c>
      <c r="H496" s="2">
        <v>13</v>
      </c>
      <c r="I496" s="3">
        <v>0.66248409996473057</v>
      </c>
      <c r="J496" s="4">
        <f>(Table3[[#This Row],[Price of One Product]]*Table3[[#This Row],[No of Products in one Sale]])-Table3[[#This Row],[Discount]]</f>
        <v>779.33751590003521</v>
      </c>
    </row>
    <row r="497" spans="1:10" x14ac:dyDescent="0.3">
      <c r="A497" t="s">
        <v>520</v>
      </c>
      <c r="B497" t="s">
        <v>55</v>
      </c>
      <c r="C497" s="1">
        <v>44763</v>
      </c>
      <c r="D497" t="s">
        <v>64</v>
      </c>
      <c r="E497" t="s">
        <v>67</v>
      </c>
      <c r="F497">
        <v>95</v>
      </c>
      <c r="G497" t="s">
        <v>2</v>
      </c>
      <c r="H497" s="2">
        <v>4</v>
      </c>
      <c r="I497" s="3">
        <v>0.51300641040982664</v>
      </c>
      <c r="J497" s="4">
        <f>(Table3[[#This Row],[Price of One Product]]*Table3[[#This Row],[No of Products in one Sale]])-Table3[[#This Row],[Discount]]</f>
        <v>379.48699358959016</v>
      </c>
    </row>
    <row r="498" spans="1:10" x14ac:dyDescent="0.3">
      <c r="A498" t="s">
        <v>521</v>
      </c>
      <c r="B498" t="s">
        <v>56</v>
      </c>
      <c r="C498" s="1">
        <v>44733</v>
      </c>
      <c r="D498" t="s">
        <v>59</v>
      </c>
      <c r="E498" t="s">
        <v>66</v>
      </c>
      <c r="F498">
        <v>72</v>
      </c>
      <c r="G498" t="s">
        <v>0</v>
      </c>
      <c r="H498" s="2">
        <v>3</v>
      </c>
      <c r="I498" s="3">
        <v>0.84951124937796896</v>
      </c>
      <c r="J498" s="4">
        <f>(Table3[[#This Row],[Price of One Product]]*Table3[[#This Row],[No of Products in one Sale]])-Table3[[#This Row],[Discount]]</f>
        <v>215.15048875062203</v>
      </c>
    </row>
    <row r="499" spans="1:10" x14ac:dyDescent="0.3">
      <c r="A499" t="s">
        <v>522</v>
      </c>
      <c r="B499" t="s">
        <v>51</v>
      </c>
      <c r="C499" s="1">
        <v>44746</v>
      </c>
      <c r="D499" t="s">
        <v>60</v>
      </c>
      <c r="E499" t="s">
        <v>67</v>
      </c>
      <c r="F499">
        <v>65</v>
      </c>
      <c r="G499" t="s">
        <v>1</v>
      </c>
      <c r="H499" s="2">
        <v>12</v>
      </c>
      <c r="I499" s="3">
        <v>0.57786595909251792</v>
      </c>
      <c r="J499" s="4">
        <f>(Table3[[#This Row],[Price of One Product]]*Table3[[#This Row],[No of Products in one Sale]])-Table3[[#This Row],[Discount]]</f>
        <v>779.42213404090751</v>
      </c>
    </row>
    <row r="500" spans="1:10" x14ac:dyDescent="0.3">
      <c r="A500" t="s">
        <v>523</v>
      </c>
      <c r="B500" t="s">
        <v>52</v>
      </c>
      <c r="C500" s="1">
        <v>44755</v>
      </c>
      <c r="D500" t="s">
        <v>61</v>
      </c>
      <c r="E500" t="s">
        <v>67</v>
      </c>
      <c r="F500">
        <v>250</v>
      </c>
      <c r="G500" t="s">
        <v>2</v>
      </c>
      <c r="H500" s="2">
        <v>4</v>
      </c>
      <c r="I500" s="3">
        <v>1.9027976654024337E-2</v>
      </c>
      <c r="J500" s="4">
        <f>(Table3[[#This Row],[Price of One Product]]*Table3[[#This Row],[No of Products in one Sale]])-Table3[[#This Row],[Discount]]</f>
        <v>999.980972023346</v>
      </c>
    </row>
    <row r="501" spans="1:10" x14ac:dyDescent="0.3">
      <c r="A501" t="s">
        <v>524</v>
      </c>
      <c r="B501" t="s">
        <v>51</v>
      </c>
      <c r="C501" s="1">
        <v>44787</v>
      </c>
      <c r="D501" t="s">
        <v>59</v>
      </c>
      <c r="E501" t="s">
        <v>66</v>
      </c>
      <c r="F501">
        <v>72</v>
      </c>
      <c r="G501" t="s">
        <v>0</v>
      </c>
      <c r="H501" s="2">
        <v>9</v>
      </c>
      <c r="I501" s="3">
        <f ca="1">RAND()</f>
        <v>0.78242914571039701</v>
      </c>
      <c r="J501" s="4">
        <f ca="1">(Table3[[#This Row],[Price of One Product]]*Table3[[#This Row],[No of Products in one Sale]])-Table3[[#This Row],[Discount]]</f>
        <v>647.21757085428965</v>
      </c>
    </row>
    <row r="502" spans="1:10" x14ac:dyDescent="0.3">
      <c r="A502" t="s">
        <v>525</v>
      </c>
      <c r="B502" t="s">
        <v>52</v>
      </c>
      <c r="C502" s="1">
        <v>44799</v>
      </c>
      <c r="D502" t="s">
        <v>60</v>
      </c>
      <c r="E502" t="s">
        <v>67</v>
      </c>
      <c r="F502">
        <v>65</v>
      </c>
      <c r="G502" t="s">
        <v>1</v>
      </c>
      <c r="H502" s="2">
        <v>11</v>
      </c>
      <c r="I502" s="3">
        <f t="shared" ref="I502:I565" ca="1" si="0">RAND()</f>
        <v>0.81283976507733546</v>
      </c>
      <c r="J502" s="4">
        <f ca="1">(Table3[[#This Row],[Price of One Product]]*Table3[[#This Row],[No of Products in one Sale]])-Table3[[#This Row],[Discount]]</f>
        <v>714.18716023492266</v>
      </c>
    </row>
    <row r="503" spans="1:10" x14ac:dyDescent="0.3">
      <c r="A503" t="s">
        <v>526</v>
      </c>
      <c r="B503" t="s">
        <v>53</v>
      </c>
      <c r="C503" s="1">
        <v>44802</v>
      </c>
      <c r="D503" t="s">
        <v>61</v>
      </c>
      <c r="E503" t="s">
        <v>66</v>
      </c>
      <c r="F503">
        <v>250</v>
      </c>
      <c r="G503" t="s">
        <v>2</v>
      </c>
      <c r="H503" s="2">
        <v>2</v>
      </c>
      <c r="I503" s="3">
        <f t="shared" ca="1" si="0"/>
        <v>0.88269230597338566</v>
      </c>
      <c r="J503" s="4">
        <f ca="1">(Table3[[#This Row],[Price of One Product]]*Table3[[#This Row],[No of Products in one Sale]])-Table3[[#This Row],[Discount]]</f>
        <v>499.11730769402664</v>
      </c>
    </row>
    <row r="504" spans="1:10" x14ac:dyDescent="0.3">
      <c r="A504" t="s">
        <v>527</v>
      </c>
      <c r="B504" t="s">
        <v>54</v>
      </c>
      <c r="C504" s="1">
        <v>44774</v>
      </c>
      <c r="D504" t="s">
        <v>62</v>
      </c>
      <c r="E504" t="s">
        <v>67</v>
      </c>
      <c r="F504">
        <v>130</v>
      </c>
      <c r="G504" t="s">
        <v>0</v>
      </c>
      <c r="H504" s="2">
        <v>5</v>
      </c>
      <c r="I504" s="3">
        <f t="shared" ca="1" si="0"/>
        <v>0.6811910329785531</v>
      </c>
      <c r="J504" s="4">
        <f ca="1">(Table3[[#This Row],[Price of One Product]]*Table3[[#This Row],[No of Products in one Sale]])-Table3[[#This Row],[Discount]]</f>
        <v>649.31880896702148</v>
      </c>
    </row>
    <row r="505" spans="1:10" x14ac:dyDescent="0.3">
      <c r="A505" t="s">
        <v>528</v>
      </c>
      <c r="B505" t="s">
        <v>51</v>
      </c>
      <c r="C505" s="1">
        <v>44800</v>
      </c>
      <c r="D505" t="s">
        <v>59</v>
      </c>
      <c r="E505" t="s">
        <v>66</v>
      </c>
      <c r="F505">
        <v>72</v>
      </c>
      <c r="G505" t="s">
        <v>1</v>
      </c>
      <c r="H505" s="2">
        <v>8</v>
      </c>
      <c r="I505" s="3">
        <f t="shared" ca="1" si="0"/>
        <v>0.65766555389391024</v>
      </c>
      <c r="J505" s="4">
        <f ca="1">(Table3[[#This Row],[Price of One Product]]*Table3[[#This Row],[No of Products in one Sale]])-Table3[[#This Row],[Discount]]</f>
        <v>575.34233444610607</v>
      </c>
    </row>
    <row r="506" spans="1:10" x14ac:dyDescent="0.3">
      <c r="A506" t="s">
        <v>529</v>
      </c>
      <c r="B506" t="s">
        <v>52</v>
      </c>
      <c r="C506" s="1">
        <v>44797</v>
      </c>
      <c r="D506" t="s">
        <v>60</v>
      </c>
      <c r="E506" t="s">
        <v>67</v>
      </c>
      <c r="F506">
        <v>65</v>
      </c>
      <c r="G506" t="s">
        <v>2</v>
      </c>
      <c r="H506" s="2">
        <v>5</v>
      </c>
      <c r="I506" s="3">
        <f t="shared" ca="1" si="0"/>
        <v>0.71763688403251502</v>
      </c>
      <c r="J506" s="4">
        <f ca="1">(Table3[[#This Row],[Price of One Product]]*Table3[[#This Row],[No of Products in one Sale]])-Table3[[#This Row],[Discount]]</f>
        <v>324.28236311596748</v>
      </c>
    </row>
    <row r="507" spans="1:10" x14ac:dyDescent="0.3">
      <c r="A507" t="s">
        <v>530</v>
      </c>
      <c r="B507" t="s">
        <v>53</v>
      </c>
      <c r="C507" s="1">
        <v>44766</v>
      </c>
      <c r="D507" t="s">
        <v>61</v>
      </c>
      <c r="E507" t="s">
        <v>66</v>
      </c>
      <c r="F507">
        <v>250</v>
      </c>
      <c r="G507" t="s">
        <v>0</v>
      </c>
      <c r="H507" s="2">
        <v>2</v>
      </c>
      <c r="I507" s="3">
        <f t="shared" ca="1" si="0"/>
        <v>0.13598015199907576</v>
      </c>
      <c r="J507" s="4">
        <f ca="1">(Table3[[#This Row],[Price of One Product]]*Table3[[#This Row],[No of Products in one Sale]])-Table3[[#This Row],[Discount]]</f>
        <v>499.86401984800091</v>
      </c>
    </row>
    <row r="508" spans="1:10" x14ac:dyDescent="0.3">
      <c r="A508" t="s">
        <v>531</v>
      </c>
      <c r="B508" t="s">
        <v>54</v>
      </c>
      <c r="C508" s="1">
        <v>44782</v>
      </c>
      <c r="D508" t="s">
        <v>62</v>
      </c>
      <c r="E508" t="s">
        <v>67</v>
      </c>
      <c r="F508">
        <v>130</v>
      </c>
      <c r="G508" t="s">
        <v>1</v>
      </c>
      <c r="H508" s="2">
        <v>4</v>
      </c>
      <c r="I508" s="3">
        <f t="shared" ca="1" si="0"/>
        <v>0.25094015686064719</v>
      </c>
      <c r="J508" s="4">
        <f ca="1">(Table3[[#This Row],[Price of One Product]]*Table3[[#This Row],[No of Products in one Sale]])-Table3[[#This Row],[Discount]]</f>
        <v>519.74905984313932</v>
      </c>
    </row>
    <row r="509" spans="1:10" x14ac:dyDescent="0.3">
      <c r="A509" t="s">
        <v>532</v>
      </c>
      <c r="B509" t="s">
        <v>55</v>
      </c>
      <c r="C509" s="1">
        <v>44790</v>
      </c>
      <c r="D509" t="s">
        <v>63</v>
      </c>
      <c r="E509" t="s">
        <v>66</v>
      </c>
      <c r="F509">
        <v>60</v>
      </c>
      <c r="G509" t="s">
        <v>2</v>
      </c>
      <c r="H509" s="2">
        <v>12</v>
      </c>
      <c r="I509" s="3">
        <f t="shared" ca="1" si="0"/>
        <v>9.1050001701128314E-2</v>
      </c>
      <c r="J509" s="4">
        <f ca="1">(Table3[[#This Row],[Price of One Product]]*Table3[[#This Row],[No of Products in one Sale]])-Table3[[#This Row],[Discount]]</f>
        <v>719.90894999829891</v>
      </c>
    </row>
    <row r="510" spans="1:10" x14ac:dyDescent="0.3">
      <c r="A510" t="s">
        <v>533</v>
      </c>
      <c r="B510" t="s">
        <v>51</v>
      </c>
      <c r="C510" s="1">
        <v>44770</v>
      </c>
      <c r="D510" t="s">
        <v>59</v>
      </c>
      <c r="E510" t="s">
        <v>67</v>
      </c>
      <c r="F510">
        <v>72</v>
      </c>
      <c r="G510" t="s">
        <v>0</v>
      </c>
      <c r="H510" s="2">
        <v>12</v>
      </c>
      <c r="I510" s="3">
        <f t="shared" ca="1" si="0"/>
        <v>0.27985028724892602</v>
      </c>
      <c r="J510" s="4">
        <f ca="1">(Table3[[#This Row],[Price of One Product]]*Table3[[#This Row],[No of Products in one Sale]])-Table3[[#This Row],[Discount]]</f>
        <v>863.72014971275109</v>
      </c>
    </row>
    <row r="511" spans="1:10" x14ac:dyDescent="0.3">
      <c r="A511" t="s">
        <v>534</v>
      </c>
      <c r="B511" t="s">
        <v>52</v>
      </c>
      <c r="C511" s="1">
        <v>44759</v>
      </c>
      <c r="D511" t="s">
        <v>60</v>
      </c>
      <c r="E511" t="s">
        <v>66</v>
      </c>
      <c r="F511">
        <v>65</v>
      </c>
      <c r="G511" t="s">
        <v>1</v>
      </c>
      <c r="H511" s="2">
        <v>9</v>
      </c>
      <c r="I511" s="3">
        <f t="shared" ca="1" si="0"/>
        <v>0.1683779897612705</v>
      </c>
      <c r="J511" s="4">
        <f ca="1">(Table3[[#This Row],[Price of One Product]]*Table3[[#This Row],[No of Products in one Sale]])-Table3[[#This Row],[Discount]]</f>
        <v>584.83162201023868</v>
      </c>
    </row>
    <row r="512" spans="1:10" x14ac:dyDescent="0.3">
      <c r="A512" t="s">
        <v>535</v>
      </c>
      <c r="B512" t="s">
        <v>53</v>
      </c>
      <c r="C512" s="1">
        <v>44776</v>
      </c>
      <c r="D512" t="s">
        <v>61</v>
      </c>
      <c r="E512" t="s">
        <v>67</v>
      </c>
      <c r="F512">
        <v>250</v>
      </c>
      <c r="G512" t="s">
        <v>2</v>
      </c>
      <c r="H512" s="2">
        <v>3</v>
      </c>
      <c r="I512" s="3">
        <f t="shared" ca="1" si="0"/>
        <v>0.42837214166705551</v>
      </c>
      <c r="J512" s="4">
        <f ca="1">(Table3[[#This Row],[Price of One Product]]*Table3[[#This Row],[No of Products in one Sale]])-Table3[[#This Row],[Discount]]</f>
        <v>749.57162785833293</v>
      </c>
    </row>
    <row r="513" spans="1:10" x14ac:dyDescent="0.3">
      <c r="A513" t="s">
        <v>536</v>
      </c>
      <c r="B513" t="s">
        <v>54</v>
      </c>
      <c r="C513" s="1">
        <v>44757</v>
      </c>
      <c r="D513" t="s">
        <v>62</v>
      </c>
      <c r="E513" t="s">
        <v>66</v>
      </c>
      <c r="F513">
        <v>130</v>
      </c>
      <c r="G513" t="s">
        <v>0</v>
      </c>
      <c r="H513" s="2">
        <v>6</v>
      </c>
      <c r="I513" s="3">
        <f t="shared" ca="1" si="0"/>
        <v>0.18621722393686357</v>
      </c>
      <c r="J513" s="4">
        <f ca="1">(Table3[[#This Row],[Price of One Product]]*Table3[[#This Row],[No of Products in one Sale]])-Table3[[#This Row],[Discount]]</f>
        <v>779.81378277606314</v>
      </c>
    </row>
    <row r="514" spans="1:10" x14ac:dyDescent="0.3">
      <c r="A514" t="s">
        <v>537</v>
      </c>
      <c r="B514" t="s">
        <v>51</v>
      </c>
      <c r="C514" s="1">
        <v>44771</v>
      </c>
      <c r="D514" t="s">
        <v>59</v>
      </c>
      <c r="E514" t="s">
        <v>67</v>
      </c>
      <c r="F514">
        <v>72</v>
      </c>
      <c r="G514" t="s">
        <v>1</v>
      </c>
      <c r="H514" s="2">
        <v>8</v>
      </c>
      <c r="I514" s="3">
        <f t="shared" ca="1" si="0"/>
        <v>0.3656968666266861</v>
      </c>
      <c r="J514" s="4">
        <f ca="1">(Table3[[#This Row],[Price of One Product]]*Table3[[#This Row],[No of Products in one Sale]])-Table3[[#This Row],[Discount]]</f>
        <v>575.63430313337335</v>
      </c>
    </row>
    <row r="515" spans="1:10" x14ac:dyDescent="0.3">
      <c r="A515" t="s">
        <v>538</v>
      </c>
      <c r="B515" t="s">
        <v>52</v>
      </c>
      <c r="C515" s="1">
        <v>44788</v>
      </c>
      <c r="D515" t="s">
        <v>60</v>
      </c>
      <c r="E515" t="s">
        <v>66</v>
      </c>
      <c r="F515">
        <v>65</v>
      </c>
      <c r="G515" t="s">
        <v>2</v>
      </c>
      <c r="H515" s="2">
        <v>4</v>
      </c>
      <c r="I515" s="3">
        <f t="shared" ca="1" si="0"/>
        <v>0.41107742928989288</v>
      </c>
      <c r="J515" s="4">
        <f ca="1">(Table3[[#This Row],[Price of One Product]]*Table3[[#This Row],[No of Products in one Sale]])-Table3[[#This Row],[Discount]]</f>
        <v>259.58892257071011</v>
      </c>
    </row>
    <row r="516" spans="1:10" x14ac:dyDescent="0.3">
      <c r="A516" t="s">
        <v>539</v>
      </c>
      <c r="B516" t="s">
        <v>53</v>
      </c>
      <c r="C516" s="1">
        <v>44762</v>
      </c>
      <c r="D516" t="s">
        <v>61</v>
      </c>
      <c r="E516" t="s">
        <v>67</v>
      </c>
      <c r="F516">
        <v>250</v>
      </c>
      <c r="G516" t="s">
        <v>0</v>
      </c>
      <c r="H516" s="2">
        <v>2</v>
      </c>
      <c r="I516" s="3">
        <f t="shared" ca="1" si="0"/>
        <v>0.918780854938126</v>
      </c>
      <c r="J516" s="4">
        <f ca="1">(Table3[[#This Row],[Price of One Product]]*Table3[[#This Row],[No of Products in one Sale]])-Table3[[#This Row],[Discount]]</f>
        <v>499.08121914506188</v>
      </c>
    </row>
    <row r="517" spans="1:10" x14ac:dyDescent="0.3">
      <c r="A517" t="s">
        <v>540</v>
      </c>
      <c r="B517" t="s">
        <v>54</v>
      </c>
      <c r="C517" s="1">
        <v>44789</v>
      </c>
      <c r="D517" t="s">
        <v>62</v>
      </c>
      <c r="E517" t="s">
        <v>66</v>
      </c>
      <c r="F517">
        <v>130</v>
      </c>
      <c r="G517" t="s">
        <v>1</v>
      </c>
      <c r="H517" s="2">
        <v>6</v>
      </c>
      <c r="I517" s="3">
        <f t="shared" ca="1" si="0"/>
        <v>0.24607112588268476</v>
      </c>
      <c r="J517" s="4">
        <f ca="1">(Table3[[#This Row],[Price of One Product]]*Table3[[#This Row],[No of Products in one Sale]])-Table3[[#This Row],[Discount]]</f>
        <v>779.75392887411726</v>
      </c>
    </row>
    <row r="518" spans="1:10" x14ac:dyDescent="0.3">
      <c r="A518" t="s">
        <v>541</v>
      </c>
      <c r="B518" t="s">
        <v>55</v>
      </c>
      <c r="C518" s="1">
        <v>44761</v>
      </c>
      <c r="D518" t="s">
        <v>63</v>
      </c>
      <c r="E518" t="s">
        <v>66</v>
      </c>
      <c r="F518">
        <v>60</v>
      </c>
      <c r="G518" t="s">
        <v>2</v>
      </c>
      <c r="H518" s="2">
        <v>15</v>
      </c>
      <c r="I518" s="3">
        <f t="shared" ca="1" si="0"/>
        <v>0.59883637927650213</v>
      </c>
      <c r="J518" s="4">
        <f ca="1">(Table3[[#This Row],[Price of One Product]]*Table3[[#This Row],[No of Products in one Sale]])-Table3[[#This Row],[Discount]]</f>
        <v>899.40116362072354</v>
      </c>
    </row>
    <row r="519" spans="1:10" x14ac:dyDescent="0.3">
      <c r="A519" t="s">
        <v>542</v>
      </c>
      <c r="B519" t="s">
        <v>56</v>
      </c>
      <c r="C519" s="1">
        <v>44790</v>
      </c>
      <c r="D519" t="s">
        <v>64</v>
      </c>
      <c r="E519" t="s">
        <v>67</v>
      </c>
      <c r="F519">
        <v>95</v>
      </c>
      <c r="G519" t="s">
        <v>0</v>
      </c>
      <c r="H519" s="2">
        <v>8</v>
      </c>
      <c r="I519" s="3">
        <f t="shared" ca="1" si="0"/>
        <v>0.94988261813740771</v>
      </c>
      <c r="J519" s="4">
        <f ca="1">(Table3[[#This Row],[Price of One Product]]*Table3[[#This Row],[No of Products in one Sale]])-Table3[[#This Row],[Discount]]</f>
        <v>759.05011738186261</v>
      </c>
    </row>
    <row r="520" spans="1:10" x14ac:dyDescent="0.3">
      <c r="A520" t="s">
        <v>543</v>
      </c>
      <c r="B520" t="s">
        <v>51</v>
      </c>
      <c r="C520" s="1">
        <v>44782</v>
      </c>
      <c r="D520" t="s">
        <v>59</v>
      </c>
      <c r="E520" t="s">
        <v>67</v>
      </c>
      <c r="F520">
        <v>72</v>
      </c>
      <c r="G520" t="s">
        <v>1</v>
      </c>
      <c r="H520" s="2">
        <v>4</v>
      </c>
      <c r="I520" s="3">
        <f t="shared" ca="1" si="0"/>
        <v>0.77036565816670721</v>
      </c>
      <c r="J520" s="4">
        <f ca="1">(Table3[[#This Row],[Price of One Product]]*Table3[[#This Row],[No of Products in one Sale]])-Table3[[#This Row],[Discount]]</f>
        <v>287.22963434183328</v>
      </c>
    </row>
    <row r="521" spans="1:10" x14ac:dyDescent="0.3">
      <c r="A521" t="s">
        <v>544</v>
      </c>
      <c r="B521" t="s">
        <v>52</v>
      </c>
      <c r="C521" s="1">
        <v>44802</v>
      </c>
      <c r="D521" t="s">
        <v>60</v>
      </c>
      <c r="E521" t="s">
        <v>67</v>
      </c>
      <c r="F521">
        <v>65</v>
      </c>
      <c r="G521" t="s">
        <v>2</v>
      </c>
      <c r="H521" s="2">
        <v>3</v>
      </c>
      <c r="I521" s="3">
        <f t="shared" ca="1" si="0"/>
        <v>0.93955618986120526</v>
      </c>
      <c r="J521" s="4">
        <f ca="1">(Table3[[#This Row],[Price of One Product]]*Table3[[#This Row],[No of Products in one Sale]])-Table3[[#This Row],[Discount]]</f>
        <v>194.06044381013879</v>
      </c>
    </row>
    <row r="522" spans="1:10" x14ac:dyDescent="0.3">
      <c r="A522" t="s">
        <v>545</v>
      </c>
      <c r="B522" t="s">
        <v>53</v>
      </c>
      <c r="C522" s="1">
        <v>44791</v>
      </c>
      <c r="D522" t="s">
        <v>61</v>
      </c>
      <c r="E522" t="s">
        <v>66</v>
      </c>
      <c r="F522">
        <v>250</v>
      </c>
      <c r="G522" t="s">
        <v>0</v>
      </c>
      <c r="H522" s="2">
        <v>1</v>
      </c>
      <c r="I522" s="3">
        <f t="shared" ca="1" si="0"/>
        <v>0.67565386935637883</v>
      </c>
      <c r="J522" s="4">
        <f ca="1">(Table3[[#This Row],[Price of One Product]]*Table3[[#This Row],[No of Products in one Sale]])-Table3[[#This Row],[Discount]]</f>
        <v>249.32434613064362</v>
      </c>
    </row>
    <row r="523" spans="1:10" x14ac:dyDescent="0.3">
      <c r="A523" t="s">
        <v>546</v>
      </c>
      <c r="B523" t="s">
        <v>54</v>
      </c>
      <c r="C523" s="1">
        <v>44795</v>
      </c>
      <c r="D523" t="s">
        <v>62</v>
      </c>
      <c r="E523" t="s">
        <v>66</v>
      </c>
      <c r="F523">
        <v>130</v>
      </c>
      <c r="G523" t="s">
        <v>1</v>
      </c>
      <c r="H523" s="2">
        <v>3</v>
      </c>
      <c r="I523" s="3">
        <f t="shared" ca="1" si="0"/>
        <v>0.4009552460022493</v>
      </c>
      <c r="J523" s="4">
        <f ca="1">(Table3[[#This Row],[Price of One Product]]*Table3[[#This Row],[No of Products in one Sale]])-Table3[[#This Row],[Discount]]</f>
        <v>389.59904475399776</v>
      </c>
    </row>
    <row r="524" spans="1:10" x14ac:dyDescent="0.3">
      <c r="A524" t="s">
        <v>547</v>
      </c>
      <c r="B524" t="s">
        <v>51</v>
      </c>
      <c r="C524" s="1">
        <v>44759</v>
      </c>
      <c r="D524" t="s">
        <v>59</v>
      </c>
      <c r="E524" t="s">
        <v>66</v>
      </c>
      <c r="F524">
        <v>72</v>
      </c>
      <c r="G524" t="s">
        <v>2</v>
      </c>
      <c r="H524" s="2">
        <v>6</v>
      </c>
      <c r="I524" s="3">
        <f t="shared" ca="1" si="0"/>
        <v>0.69787003173966478</v>
      </c>
      <c r="J524" s="4">
        <f ca="1">(Table3[[#This Row],[Price of One Product]]*Table3[[#This Row],[No of Products in one Sale]])-Table3[[#This Row],[Discount]]</f>
        <v>431.30212996826032</v>
      </c>
    </row>
    <row r="525" spans="1:10" x14ac:dyDescent="0.3">
      <c r="A525" t="s">
        <v>548</v>
      </c>
      <c r="B525" t="s">
        <v>52</v>
      </c>
      <c r="C525" s="1">
        <v>44756</v>
      </c>
      <c r="D525" t="s">
        <v>60</v>
      </c>
      <c r="E525" t="s">
        <v>66</v>
      </c>
      <c r="F525">
        <v>65</v>
      </c>
      <c r="G525" t="s">
        <v>0</v>
      </c>
      <c r="H525" s="2">
        <v>12</v>
      </c>
      <c r="I525" s="3">
        <f t="shared" ca="1" si="0"/>
        <v>0.51271930464445681</v>
      </c>
      <c r="J525" s="4">
        <f ca="1">(Table3[[#This Row],[Price of One Product]]*Table3[[#This Row],[No of Products in one Sale]])-Table3[[#This Row],[Discount]]</f>
        <v>779.48728069535559</v>
      </c>
    </row>
    <row r="526" spans="1:10" x14ac:dyDescent="0.3">
      <c r="A526" t="s">
        <v>549</v>
      </c>
      <c r="B526" t="s">
        <v>53</v>
      </c>
      <c r="C526" s="1">
        <v>44786</v>
      </c>
      <c r="D526" t="s">
        <v>61</v>
      </c>
      <c r="E526" t="s">
        <v>66</v>
      </c>
      <c r="F526">
        <v>250</v>
      </c>
      <c r="G526" t="s">
        <v>1</v>
      </c>
      <c r="H526" s="2">
        <v>3</v>
      </c>
      <c r="I526" s="3">
        <f t="shared" ca="1" si="0"/>
        <v>0.3520969644467169</v>
      </c>
      <c r="J526" s="4">
        <f ca="1">(Table3[[#This Row],[Price of One Product]]*Table3[[#This Row],[No of Products in one Sale]])-Table3[[#This Row],[Discount]]</f>
        <v>749.64790303555333</v>
      </c>
    </row>
    <row r="527" spans="1:10" x14ac:dyDescent="0.3">
      <c r="A527" t="s">
        <v>550</v>
      </c>
      <c r="B527" t="s">
        <v>54</v>
      </c>
      <c r="C527" s="1">
        <v>44757</v>
      </c>
      <c r="D527" t="s">
        <v>62</v>
      </c>
      <c r="E527" t="s">
        <v>66</v>
      </c>
      <c r="F527">
        <v>130</v>
      </c>
      <c r="G527" t="s">
        <v>2</v>
      </c>
      <c r="H527" s="2">
        <v>5</v>
      </c>
      <c r="I527" s="3">
        <f t="shared" ca="1" si="0"/>
        <v>0.25090200309466337</v>
      </c>
      <c r="J527" s="4">
        <f ca="1">(Table3[[#This Row],[Price of One Product]]*Table3[[#This Row],[No of Products in one Sale]])-Table3[[#This Row],[Discount]]</f>
        <v>649.74909799690533</v>
      </c>
    </row>
    <row r="528" spans="1:10" x14ac:dyDescent="0.3">
      <c r="A528" t="s">
        <v>551</v>
      </c>
      <c r="B528" t="s">
        <v>55</v>
      </c>
      <c r="C528" s="1">
        <v>44787</v>
      </c>
      <c r="D528" t="s">
        <v>63</v>
      </c>
      <c r="E528" t="s">
        <v>66</v>
      </c>
      <c r="F528">
        <v>60</v>
      </c>
      <c r="G528" t="s">
        <v>0</v>
      </c>
      <c r="H528" s="2">
        <v>7</v>
      </c>
      <c r="I528" s="3">
        <f t="shared" ca="1" si="0"/>
        <v>0.46179549061991598</v>
      </c>
      <c r="J528" s="4">
        <f ca="1">(Table3[[#This Row],[Price of One Product]]*Table3[[#This Row],[No of Products in one Sale]])-Table3[[#This Row],[Discount]]</f>
        <v>419.53820450938008</v>
      </c>
    </row>
    <row r="529" spans="1:10" x14ac:dyDescent="0.3">
      <c r="A529" t="s">
        <v>552</v>
      </c>
      <c r="B529" t="s">
        <v>51</v>
      </c>
      <c r="C529" s="1">
        <v>44763</v>
      </c>
      <c r="D529" t="s">
        <v>59</v>
      </c>
      <c r="E529" t="s">
        <v>66</v>
      </c>
      <c r="F529">
        <v>72</v>
      </c>
      <c r="G529" t="s">
        <v>1</v>
      </c>
      <c r="H529" s="2">
        <v>7</v>
      </c>
      <c r="I529" s="3">
        <f t="shared" ca="1" si="0"/>
        <v>0.11834399429973674</v>
      </c>
      <c r="J529" s="4">
        <f ca="1">(Table3[[#This Row],[Price of One Product]]*Table3[[#This Row],[No of Products in one Sale]])-Table3[[#This Row],[Discount]]</f>
        <v>503.88165600570028</v>
      </c>
    </row>
    <row r="530" spans="1:10" x14ac:dyDescent="0.3">
      <c r="A530" t="s">
        <v>553</v>
      </c>
      <c r="B530" t="s">
        <v>52</v>
      </c>
      <c r="C530" s="1">
        <v>44799</v>
      </c>
      <c r="D530" t="s">
        <v>60</v>
      </c>
      <c r="E530" t="s">
        <v>66</v>
      </c>
      <c r="F530">
        <v>65</v>
      </c>
      <c r="G530" t="s">
        <v>2</v>
      </c>
      <c r="H530" s="2">
        <v>12</v>
      </c>
      <c r="I530" s="3">
        <f t="shared" ca="1" si="0"/>
        <v>0.23167707777729829</v>
      </c>
      <c r="J530" s="4">
        <f ca="1">(Table3[[#This Row],[Price of One Product]]*Table3[[#This Row],[No of Products in one Sale]])-Table3[[#This Row],[Discount]]</f>
        <v>779.76832292222275</v>
      </c>
    </row>
    <row r="531" spans="1:10" x14ac:dyDescent="0.3">
      <c r="A531" t="s">
        <v>554</v>
      </c>
      <c r="B531" t="s">
        <v>53</v>
      </c>
      <c r="C531" s="1">
        <v>44798</v>
      </c>
      <c r="D531" t="s">
        <v>61</v>
      </c>
      <c r="E531" t="s">
        <v>67</v>
      </c>
      <c r="F531">
        <v>250</v>
      </c>
      <c r="G531" t="s">
        <v>0</v>
      </c>
      <c r="H531" s="2">
        <v>1</v>
      </c>
      <c r="I531" s="3">
        <f t="shared" ca="1" si="0"/>
        <v>4.8474523784623247E-2</v>
      </c>
      <c r="J531" s="4">
        <f ca="1">(Table3[[#This Row],[Price of One Product]]*Table3[[#This Row],[No of Products in one Sale]])-Table3[[#This Row],[Discount]]</f>
        <v>249.95152547621538</v>
      </c>
    </row>
    <row r="532" spans="1:10" x14ac:dyDescent="0.3">
      <c r="A532" t="s">
        <v>555</v>
      </c>
      <c r="B532" t="s">
        <v>54</v>
      </c>
      <c r="C532" s="1">
        <v>44807</v>
      </c>
      <c r="D532" t="s">
        <v>62</v>
      </c>
      <c r="E532" t="s">
        <v>66</v>
      </c>
      <c r="F532">
        <v>130</v>
      </c>
      <c r="G532" t="s">
        <v>1</v>
      </c>
      <c r="H532" s="2">
        <v>2</v>
      </c>
      <c r="I532" s="3">
        <f t="shared" ca="1" si="0"/>
        <v>0.50539223225548524</v>
      </c>
      <c r="J532" s="4">
        <f ca="1">(Table3[[#This Row],[Price of One Product]]*Table3[[#This Row],[No of Products in one Sale]])-Table3[[#This Row],[Discount]]</f>
        <v>259.49460776774453</v>
      </c>
    </row>
    <row r="533" spans="1:10" x14ac:dyDescent="0.3">
      <c r="A533" t="s">
        <v>556</v>
      </c>
      <c r="B533" t="s">
        <v>51</v>
      </c>
      <c r="C533" s="1">
        <v>44769</v>
      </c>
      <c r="D533" t="s">
        <v>59</v>
      </c>
      <c r="E533" t="s">
        <v>66</v>
      </c>
      <c r="F533">
        <v>72</v>
      </c>
      <c r="G533" t="s">
        <v>2</v>
      </c>
      <c r="H533" s="2">
        <v>7</v>
      </c>
      <c r="I533" s="3">
        <f t="shared" ca="1" si="0"/>
        <v>5.3289220307173313E-3</v>
      </c>
      <c r="J533" s="4">
        <f ca="1">(Table3[[#This Row],[Price of One Product]]*Table3[[#This Row],[No of Products in one Sale]])-Table3[[#This Row],[Discount]]</f>
        <v>503.99467107796926</v>
      </c>
    </row>
    <row r="534" spans="1:10" x14ac:dyDescent="0.3">
      <c r="A534" t="s">
        <v>557</v>
      </c>
      <c r="B534" t="s">
        <v>52</v>
      </c>
      <c r="C534" s="1">
        <v>44779</v>
      </c>
      <c r="D534" t="s">
        <v>60</v>
      </c>
      <c r="E534" t="s">
        <v>66</v>
      </c>
      <c r="F534">
        <v>65</v>
      </c>
      <c r="G534" t="s">
        <v>0</v>
      </c>
      <c r="H534" s="2">
        <v>3</v>
      </c>
      <c r="I534" s="3">
        <f t="shared" ca="1" si="0"/>
        <v>0.26939037233935381</v>
      </c>
      <c r="J534" s="4">
        <f ca="1">(Table3[[#This Row],[Price of One Product]]*Table3[[#This Row],[No of Products in one Sale]])-Table3[[#This Row],[Discount]]</f>
        <v>194.73060962766064</v>
      </c>
    </row>
    <row r="535" spans="1:10" x14ac:dyDescent="0.3">
      <c r="A535" t="s">
        <v>558</v>
      </c>
      <c r="B535" t="s">
        <v>53</v>
      </c>
      <c r="C535" s="1">
        <v>44769</v>
      </c>
      <c r="D535" t="s">
        <v>61</v>
      </c>
      <c r="E535" t="s">
        <v>66</v>
      </c>
      <c r="F535">
        <v>250</v>
      </c>
      <c r="G535" t="s">
        <v>1</v>
      </c>
      <c r="H535" s="2">
        <v>2</v>
      </c>
      <c r="I535" s="3">
        <f t="shared" ca="1" si="0"/>
        <v>0.96232937314560862</v>
      </c>
      <c r="J535" s="4">
        <f ca="1">(Table3[[#This Row],[Price of One Product]]*Table3[[#This Row],[No of Products in one Sale]])-Table3[[#This Row],[Discount]]</f>
        <v>499.03767062685438</v>
      </c>
    </row>
    <row r="536" spans="1:10" x14ac:dyDescent="0.3">
      <c r="A536" t="s">
        <v>559</v>
      </c>
      <c r="B536" t="s">
        <v>54</v>
      </c>
      <c r="C536" s="1">
        <v>44756</v>
      </c>
      <c r="D536" t="s">
        <v>62</v>
      </c>
      <c r="E536" t="s">
        <v>66</v>
      </c>
      <c r="F536">
        <v>130</v>
      </c>
      <c r="G536" t="s">
        <v>2</v>
      </c>
      <c r="H536" s="2">
        <v>3</v>
      </c>
      <c r="I536" s="3">
        <f t="shared" ca="1" si="0"/>
        <v>0.93158857638933013</v>
      </c>
      <c r="J536" s="4">
        <f ca="1">(Table3[[#This Row],[Price of One Product]]*Table3[[#This Row],[No of Products in one Sale]])-Table3[[#This Row],[Discount]]</f>
        <v>389.06841142361066</v>
      </c>
    </row>
    <row r="537" spans="1:10" x14ac:dyDescent="0.3">
      <c r="A537" t="s">
        <v>560</v>
      </c>
      <c r="B537" t="s">
        <v>55</v>
      </c>
      <c r="C537" s="1">
        <v>44799</v>
      </c>
      <c r="D537" t="s">
        <v>63</v>
      </c>
      <c r="E537" t="s">
        <v>67</v>
      </c>
      <c r="F537">
        <v>60</v>
      </c>
      <c r="G537" t="s">
        <v>0</v>
      </c>
      <c r="H537" s="2">
        <v>12</v>
      </c>
      <c r="I537" s="3">
        <f t="shared" ca="1" si="0"/>
        <v>0.98798940911652156</v>
      </c>
      <c r="J537" s="4">
        <f ca="1">(Table3[[#This Row],[Price of One Product]]*Table3[[#This Row],[No of Products in one Sale]])-Table3[[#This Row],[Discount]]</f>
        <v>719.01201059088351</v>
      </c>
    </row>
    <row r="538" spans="1:10" x14ac:dyDescent="0.3">
      <c r="A538" t="s">
        <v>561</v>
      </c>
      <c r="B538" t="s">
        <v>56</v>
      </c>
      <c r="C538" s="1">
        <v>44807</v>
      </c>
      <c r="D538" t="s">
        <v>64</v>
      </c>
      <c r="E538" t="s">
        <v>66</v>
      </c>
      <c r="F538">
        <v>95</v>
      </c>
      <c r="G538" t="s">
        <v>1</v>
      </c>
      <c r="H538" s="2">
        <v>3</v>
      </c>
      <c r="I538" s="3">
        <f t="shared" ca="1" si="0"/>
        <v>0.12304936179743486</v>
      </c>
      <c r="J538" s="4">
        <f ca="1">(Table3[[#This Row],[Price of One Product]]*Table3[[#This Row],[No of Products in one Sale]])-Table3[[#This Row],[Discount]]</f>
        <v>284.87695063820257</v>
      </c>
    </row>
    <row r="539" spans="1:10" x14ac:dyDescent="0.3">
      <c r="A539" t="s">
        <v>562</v>
      </c>
      <c r="B539" t="s">
        <v>51</v>
      </c>
      <c r="C539" s="1">
        <v>44769</v>
      </c>
      <c r="D539" t="s">
        <v>59</v>
      </c>
      <c r="E539" t="s">
        <v>66</v>
      </c>
      <c r="F539">
        <v>72</v>
      </c>
      <c r="G539" t="s">
        <v>2</v>
      </c>
      <c r="H539" s="2">
        <v>6</v>
      </c>
      <c r="I539" s="3">
        <f t="shared" ca="1" si="0"/>
        <v>0.77627430041979628</v>
      </c>
      <c r="J539" s="4">
        <f ca="1">(Table3[[#This Row],[Price of One Product]]*Table3[[#This Row],[No of Products in one Sale]])-Table3[[#This Row],[Discount]]</f>
        <v>431.2237256995802</v>
      </c>
    </row>
    <row r="540" spans="1:10" x14ac:dyDescent="0.3">
      <c r="A540" t="s">
        <v>563</v>
      </c>
      <c r="B540" t="s">
        <v>52</v>
      </c>
      <c r="C540" s="1">
        <v>44805</v>
      </c>
      <c r="D540" t="s">
        <v>60</v>
      </c>
      <c r="E540" t="s">
        <v>66</v>
      </c>
      <c r="F540">
        <v>65</v>
      </c>
      <c r="G540" t="s">
        <v>0</v>
      </c>
      <c r="H540" s="2">
        <v>5</v>
      </c>
      <c r="I540" s="3">
        <f t="shared" ca="1" si="0"/>
        <v>0.98467758287638407</v>
      </c>
      <c r="J540" s="4">
        <f ca="1">(Table3[[#This Row],[Price of One Product]]*Table3[[#This Row],[No of Products in one Sale]])-Table3[[#This Row],[Discount]]</f>
        <v>324.01532241712363</v>
      </c>
    </row>
    <row r="541" spans="1:10" x14ac:dyDescent="0.3">
      <c r="A541" t="s">
        <v>564</v>
      </c>
      <c r="B541" t="s">
        <v>53</v>
      </c>
      <c r="C541" s="1">
        <v>44796</v>
      </c>
      <c r="D541" t="s">
        <v>61</v>
      </c>
      <c r="E541" t="s">
        <v>67</v>
      </c>
      <c r="F541">
        <v>250</v>
      </c>
      <c r="G541" t="s">
        <v>1</v>
      </c>
      <c r="H541" s="2">
        <v>3</v>
      </c>
      <c r="I541" s="3">
        <f t="shared" ca="1" si="0"/>
        <v>0.50514447953207631</v>
      </c>
      <c r="J541" s="4">
        <f ca="1">(Table3[[#This Row],[Price of One Product]]*Table3[[#This Row],[No of Products in one Sale]])-Table3[[#This Row],[Discount]]</f>
        <v>749.49485552046792</v>
      </c>
    </row>
    <row r="542" spans="1:10" x14ac:dyDescent="0.3">
      <c r="A542" t="s">
        <v>565</v>
      </c>
      <c r="B542" t="s">
        <v>54</v>
      </c>
      <c r="C542" s="1">
        <v>44798</v>
      </c>
      <c r="D542" t="s">
        <v>62</v>
      </c>
      <c r="E542" t="s">
        <v>67</v>
      </c>
      <c r="F542">
        <v>130</v>
      </c>
      <c r="G542" t="s">
        <v>2</v>
      </c>
      <c r="H542" s="2">
        <v>5</v>
      </c>
      <c r="I542" s="3">
        <f t="shared" ca="1" si="0"/>
        <v>0.54207137529271843</v>
      </c>
      <c r="J542" s="4">
        <f ca="1">(Table3[[#This Row],[Price of One Product]]*Table3[[#This Row],[No of Products in one Sale]])-Table3[[#This Row],[Discount]]</f>
        <v>649.45792862470728</v>
      </c>
    </row>
    <row r="543" spans="1:10" x14ac:dyDescent="0.3">
      <c r="A543" t="s">
        <v>566</v>
      </c>
      <c r="B543" t="s">
        <v>51</v>
      </c>
      <c r="C543" s="1">
        <v>44756</v>
      </c>
      <c r="D543" t="s">
        <v>59</v>
      </c>
      <c r="E543" t="s">
        <v>67</v>
      </c>
      <c r="F543">
        <v>72</v>
      </c>
      <c r="G543" t="s">
        <v>0</v>
      </c>
      <c r="H543" s="2">
        <v>6</v>
      </c>
      <c r="I543" s="3">
        <f t="shared" ca="1" si="0"/>
        <v>0.18784291952834575</v>
      </c>
      <c r="J543" s="4">
        <f ca="1">(Table3[[#This Row],[Price of One Product]]*Table3[[#This Row],[No of Products in one Sale]])-Table3[[#This Row],[Discount]]</f>
        <v>431.81215708047165</v>
      </c>
    </row>
    <row r="544" spans="1:10" x14ac:dyDescent="0.3">
      <c r="A544" t="s">
        <v>567</v>
      </c>
      <c r="B544" t="s">
        <v>52</v>
      </c>
      <c r="C544" s="1">
        <v>44800</v>
      </c>
      <c r="D544" t="s">
        <v>60</v>
      </c>
      <c r="E544" t="s">
        <v>67</v>
      </c>
      <c r="F544">
        <v>65</v>
      </c>
      <c r="G544" t="s">
        <v>1</v>
      </c>
      <c r="H544" s="2">
        <v>11</v>
      </c>
      <c r="I544" s="3">
        <f t="shared" ca="1" si="0"/>
        <v>0.25110842033045011</v>
      </c>
      <c r="J544" s="4">
        <f ca="1">(Table3[[#This Row],[Price of One Product]]*Table3[[#This Row],[No of Products in one Sale]])-Table3[[#This Row],[Discount]]</f>
        <v>714.74889157966959</v>
      </c>
    </row>
    <row r="545" spans="1:10" x14ac:dyDescent="0.3">
      <c r="A545" t="s">
        <v>568</v>
      </c>
      <c r="B545" t="s">
        <v>53</v>
      </c>
      <c r="C545" s="1">
        <v>44758</v>
      </c>
      <c r="D545" t="s">
        <v>61</v>
      </c>
      <c r="E545" t="s">
        <v>67</v>
      </c>
      <c r="F545">
        <v>250</v>
      </c>
      <c r="G545" t="s">
        <v>2</v>
      </c>
      <c r="H545" s="2">
        <v>1</v>
      </c>
      <c r="I545" s="3">
        <f t="shared" ca="1" si="0"/>
        <v>0.37763468751758922</v>
      </c>
      <c r="J545" s="4">
        <f ca="1">(Table3[[#This Row],[Price of One Product]]*Table3[[#This Row],[No of Products in one Sale]])-Table3[[#This Row],[Discount]]</f>
        <v>249.6223653124824</v>
      </c>
    </row>
    <row r="546" spans="1:10" x14ac:dyDescent="0.3">
      <c r="A546" t="s">
        <v>569</v>
      </c>
      <c r="B546" t="s">
        <v>54</v>
      </c>
      <c r="C546" s="1">
        <v>44788</v>
      </c>
      <c r="D546" t="s">
        <v>62</v>
      </c>
      <c r="E546" t="s">
        <v>67</v>
      </c>
      <c r="F546">
        <v>130</v>
      </c>
      <c r="G546" t="s">
        <v>0</v>
      </c>
      <c r="H546" s="2">
        <v>3</v>
      </c>
      <c r="I546" s="3">
        <f t="shared" ca="1" si="0"/>
        <v>0.73658974772000607</v>
      </c>
      <c r="J546" s="4">
        <f ca="1">(Table3[[#This Row],[Price of One Product]]*Table3[[#This Row],[No of Products in one Sale]])-Table3[[#This Row],[Discount]]</f>
        <v>389.26341025227998</v>
      </c>
    </row>
    <row r="547" spans="1:10" x14ac:dyDescent="0.3">
      <c r="A547" t="s">
        <v>570</v>
      </c>
      <c r="B547" t="s">
        <v>51</v>
      </c>
      <c r="C547" s="1">
        <v>44793</v>
      </c>
      <c r="D547" t="s">
        <v>59</v>
      </c>
      <c r="E547" t="s">
        <v>66</v>
      </c>
      <c r="F547">
        <v>72</v>
      </c>
      <c r="G547" t="s">
        <v>0</v>
      </c>
      <c r="H547" s="2">
        <v>10</v>
      </c>
      <c r="I547" s="3">
        <f t="shared" ca="1" si="0"/>
        <v>0.11625462222570482</v>
      </c>
      <c r="J547" s="4">
        <f ca="1">(Table3[[#This Row],[Price of One Product]]*Table3[[#This Row],[No of Products in one Sale]])-Table3[[#This Row],[Discount]]</f>
        <v>719.88374537777429</v>
      </c>
    </row>
    <row r="548" spans="1:10" x14ac:dyDescent="0.3">
      <c r="A548" t="s">
        <v>571</v>
      </c>
      <c r="B548" t="s">
        <v>52</v>
      </c>
      <c r="C548" s="1">
        <v>44784</v>
      </c>
      <c r="D548" t="s">
        <v>60</v>
      </c>
      <c r="E548" t="s">
        <v>67</v>
      </c>
      <c r="F548">
        <v>65</v>
      </c>
      <c r="G548" t="s">
        <v>1</v>
      </c>
      <c r="H548" s="2">
        <v>6</v>
      </c>
      <c r="I548" s="3">
        <f t="shared" ca="1" si="0"/>
        <v>0.94846909630941989</v>
      </c>
      <c r="J548" s="4">
        <f ca="1">(Table3[[#This Row],[Price of One Product]]*Table3[[#This Row],[No of Products in one Sale]])-Table3[[#This Row],[Discount]]</f>
        <v>389.0515309036906</v>
      </c>
    </row>
    <row r="549" spans="1:10" x14ac:dyDescent="0.3">
      <c r="A549" t="s">
        <v>572</v>
      </c>
      <c r="B549" t="s">
        <v>53</v>
      </c>
      <c r="C549" s="1">
        <v>44793</v>
      </c>
      <c r="D549" t="s">
        <v>61</v>
      </c>
      <c r="E549" t="s">
        <v>66</v>
      </c>
      <c r="F549">
        <v>250</v>
      </c>
      <c r="G549" t="s">
        <v>2</v>
      </c>
      <c r="H549" s="2">
        <v>2</v>
      </c>
      <c r="I549" s="3">
        <f t="shared" ca="1" si="0"/>
        <v>0.53137192697636337</v>
      </c>
      <c r="J549" s="4">
        <f ca="1">(Table3[[#This Row],[Price of One Product]]*Table3[[#This Row],[No of Products in one Sale]])-Table3[[#This Row],[Discount]]</f>
        <v>499.46862807302364</v>
      </c>
    </row>
    <row r="550" spans="1:10" x14ac:dyDescent="0.3">
      <c r="A550" t="s">
        <v>573</v>
      </c>
      <c r="B550" t="s">
        <v>54</v>
      </c>
      <c r="C550" s="1">
        <v>44796</v>
      </c>
      <c r="D550" t="s">
        <v>62</v>
      </c>
      <c r="E550" t="s">
        <v>67</v>
      </c>
      <c r="F550">
        <v>130</v>
      </c>
      <c r="G550" t="s">
        <v>0</v>
      </c>
      <c r="H550" s="2">
        <v>5</v>
      </c>
      <c r="I550" s="3">
        <f t="shared" ca="1" si="0"/>
        <v>0.28993671289623779</v>
      </c>
      <c r="J550" s="4">
        <f ca="1">(Table3[[#This Row],[Price of One Product]]*Table3[[#This Row],[No of Products in one Sale]])-Table3[[#This Row],[Discount]]</f>
        <v>649.71006328710371</v>
      </c>
    </row>
    <row r="551" spans="1:10" x14ac:dyDescent="0.3">
      <c r="A551" t="s">
        <v>574</v>
      </c>
      <c r="B551" t="s">
        <v>51</v>
      </c>
      <c r="C551" s="1">
        <v>44758</v>
      </c>
      <c r="D551" t="s">
        <v>59</v>
      </c>
      <c r="E551" t="s">
        <v>66</v>
      </c>
      <c r="F551">
        <v>72</v>
      </c>
      <c r="G551" t="s">
        <v>1</v>
      </c>
      <c r="H551" s="2">
        <v>9</v>
      </c>
      <c r="I551" s="3">
        <f t="shared" ca="1" si="0"/>
        <v>0.23305559104960716</v>
      </c>
      <c r="J551" s="4">
        <f ca="1">(Table3[[#This Row],[Price of One Product]]*Table3[[#This Row],[No of Products in one Sale]])-Table3[[#This Row],[Discount]]</f>
        <v>647.76694440895039</v>
      </c>
    </row>
    <row r="552" spans="1:10" x14ac:dyDescent="0.3">
      <c r="A552" t="s">
        <v>575</v>
      </c>
      <c r="B552" t="s">
        <v>52</v>
      </c>
      <c r="C552" s="1">
        <v>44757</v>
      </c>
      <c r="D552" t="s">
        <v>60</v>
      </c>
      <c r="E552" t="s">
        <v>67</v>
      </c>
      <c r="F552">
        <v>65</v>
      </c>
      <c r="G552" t="s">
        <v>2</v>
      </c>
      <c r="H552" s="2">
        <v>5</v>
      </c>
      <c r="I552" s="3">
        <f t="shared" ca="1" si="0"/>
        <v>5.0901036450081705E-2</v>
      </c>
      <c r="J552" s="4">
        <f ca="1">(Table3[[#This Row],[Price of One Product]]*Table3[[#This Row],[No of Products in one Sale]])-Table3[[#This Row],[Discount]]</f>
        <v>324.94909896354994</v>
      </c>
    </row>
    <row r="553" spans="1:10" x14ac:dyDescent="0.3">
      <c r="A553" t="s">
        <v>576</v>
      </c>
      <c r="B553" t="s">
        <v>53</v>
      </c>
      <c r="C553" s="1">
        <v>44758</v>
      </c>
      <c r="D553" t="s">
        <v>61</v>
      </c>
      <c r="E553" t="s">
        <v>66</v>
      </c>
      <c r="F553">
        <v>250</v>
      </c>
      <c r="G553" t="s">
        <v>0</v>
      </c>
      <c r="H553" s="2">
        <v>1</v>
      </c>
      <c r="I553" s="3">
        <f t="shared" ca="1" si="0"/>
        <v>0.95553849895624321</v>
      </c>
      <c r="J553" s="4">
        <f ca="1">(Table3[[#This Row],[Price of One Product]]*Table3[[#This Row],[No of Products in one Sale]])-Table3[[#This Row],[Discount]]</f>
        <v>249.04446150104377</v>
      </c>
    </row>
    <row r="554" spans="1:10" x14ac:dyDescent="0.3">
      <c r="A554" t="s">
        <v>577</v>
      </c>
      <c r="B554" t="s">
        <v>54</v>
      </c>
      <c r="C554" s="1">
        <v>44800</v>
      </c>
      <c r="D554" t="s">
        <v>62</v>
      </c>
      <c r="E554" t="s">
        <v>67</v>
      </c>
      <c r="F554">
        <v>130</v>
      </c>
      <c r="G554" t="s">
        <v>1</v>
      </c>
      <c r="H554" s="2">
        <v>3</v>
      </c>
      <c r="I554" s="3">
        <f t="shared" ca="1" si="0"/>
        <v>0.1034255009982965</v>
      </c>
      <c r="J554" s="4">
        <f ca="1">(Table3[[#This Row],[Price of One Product]]*Table3[[#This Row],[No of Products in one Sale]])-Table3[[#This Row],[Discount]]</f>
        <v>389.8965744990017</v>
      </c>
    </row>
    <row r="555" spans="1:10" x14ac:dyDescent="0.3">
      <c r="A555" t="s">
        <v>578</v>
      </c>
      <c r="B555" t="s">
        <v>55</v>
      </c>
      <c r="C555" s="1">
        <v>44780</v>
      </c>
      <c r="D555" t="s">
        <v>63</v>
      </c>
      <c r="E555" t="s">
        <v>66</v>
      </c>
      <c r="F555">
        <v>60</v>
      </c>
      <c r="G555" t="s">
        <v>2</v>
      </c>
      <c r="H555" s="2">
        <v>7</v>
      </c>
      <c r="I555" s="3">
        <f t="shared" ca="1" si="0"/>
        <v>3.7744877070037486E-2</v>
      </c>
      <c r="J555" s="4">
        <f ca="1">(Table3[[#This Row],[Price of One Product]]*Table3[[#This Row],[No of Products in one Sale]])-Table3[[#This Row],[Discount]]</f>
        <v>419.96225512292995</v>
      </c>
    </row>
    <row r="556" spans="1:10" x14ac:dyDescent="0.3">
      <c r="A556" t="s">
        <v>579</v>
      </c>
      <c r="B556" t="s">
        <v>51</v>
      </c>
      <c r="C556" s="1">
        <v>44807</v>
      </c>
      <c r="D556" t="s">
        <v>59</v>
      </c>
      <c r="E556" t="s">
        <v>67</v>
      </c>
      <c r="F556">
        <v>72</v>
      </c>
      <c r="G556" t="s">
        <v>0</v>
      </c>
      <c r="H556" s="2">
        <v>12</v>
      </c>
      <c r="I556" s="3">
        <f t="shared" ca="1" si="0"/>
        <v>0.9202129170690343</v>
      </c>
      <c r="J556" s="4">
        <f ca="1">(Table3[[#This Row],[Price of One Product]]*Table3[[#This Row],[No of Products in one Sale]])-Table3[[#This Row],[Discount]]</f>
        <v>863.07978708293092</v>
      </c>
    </row>
    <row r="557" spans="1:10" x14ac:dyDescent="0.3">
      <c r="A557" t="s">
        <v>580</v>
      </c>
      <c r="B557" t="s">
        <v>52</v>
      </c>
      <c r="C557" s="1">
        <v>44798</v>
      </c>
      <c r="D557" t="s">
        <v>60</v>
      </c>
      <c r="E557" t="s">
        <v>66</v>
      </c>
      <c r="F557">
        <v>65</v>
      </c>
      <c r="G557" t="s">
        <v>1</v>
      </c>
      <c r="H557" s="2">
        <v>12</v>
      </c>
      <c r="I557" s="3">
        <f t="shared" ca="1" si="0"/>
        <v>0.28315953612062161</v>
      </c>
      <c r="J557" s="4">
        <f ca="1">(Table3[[#This Row],[Price of One Product]]*Table3[[#This Row],[No of Products in one Sale]])-Table3[[#This Row],[Discount]]</f>
        <v>779.71684046387941</v>
      </c>
    </row>
    <row r="558" spans="1:10" x14ac:dyDescent="0.3">
      <c r="A558" t="s">
        <v>581</v>
      </c>
      <c r="B558" t="s">
        <v>53</v>
      </c>
      <c r="C558" s="1">
        <v>44810</v>
      </c>
      <c r="D558" t="s">
        <v>61</v>
      </c>
      <c r="E558" t="s">
        <v>67</v>
      </c>
      <c r="F558">
        <v>250</v>
      </c>
      <c r="G558" t="s">
        <v>2</v>
      </c>
      <c r="H558" s="2">
        <v>3</v>
      </c>
      <c r="I558" s="3">
        <f t="shared" ca="1" si="0"/>
        <v>4.4637521036339223E-5</v>
      </c>
      <c r="J558" s="4">
        <f ca="1">(Table3[[#This Row],[Price of One Product]]*Table3[[#This Row],[No of Products in one Sale]])-Table3[[#This Row],[Discount]]</f>
        <v>749.999955362479</v>
      </c>
    </row>
    <row r="559" spans="1:10" x14ac:dyDescent="0.3">
      <c r="A559" t="s">
        <v>582</v>
      </c>
      <c r="B559" t="s">
        <v>54</v>
      </c>
      <c r="C559" s="1">
        <v>44764</v>
      </c>
      <c r="D559" t="s">
        <v>62</v>
      </c>
      <c r="E559" t="s">
        <v>66</v>
      </c>
      <c r="F559">
        <v>130</v>
      </c>
      <c r="G559" t="s">
        <v>0</v>
      </c>
      <c r="H559" s="2">
        <v>5</v>
      </c>
      <c r="I559" s="3">
        <f t="shared" ca="1" si="0"/>
        <v>0.58985169854858266</v>
      </c>
      <c r="J559" s="4">
        <f ca="1">(Table3[[#This Row],[Price of One Product]]*Table3[[#This Row],[No of Products in one Sale]])-Table3[[#This Row],[Discount]]</f>
        <v>649.41014830145139</v>
      </c>
    </row>
    <row r="560" spans="1:10" x14ac:dyDescent="0.3">
      <c r="A560" t="s">
        <v>583</v>
      </c>
      <c r="B560" t="s">
        <v>51</v>
      </c>
      <c r="C560" s="1">
        <v>44766</v>
      </c>
      <c r="D560" t="s">
        <v>59</v>
      </c>
      <c r="E560" t="s">
        <v>67</v>
      </c>
      <c r="F560">
        <v>72</v>
      </c>
      <c r="G560" t="s">
        <v>1</v>
      </c>
      <c r="H560" s="2">
        <v>4</v>
      </c>
      <c r="I560" s="3">
        <f t="shared" ca="1" si="0"/>
        <v>0.86674996886406541</v>
      </c>
      <c r="J560" s="4">
        <f ca="1">(Table3[[#This Row],[Price of One Product]]*Table3[[#This Row],[No of Products in one Sale]])-Table3[[#This Row],[Discount]]</f>
        <v>287.13325003113596</v>
      </c>
    </row>
    <row r="561" spans="1:10" x14ac:dyDescent="0.3">
      <c r="A561" t="s">
        <v>584</v>
      </c>
      <c r="B561" t="s">
        <v>52</v>
      </c>
      <c r="C561" s="1">
        <v>44794</v>
      </c>
      <c r="D561" t="s">
        <v>60</v>
      </c>
      <c r="E561" t="s">
        <v>66</v>
      </c>
      <c r="F561">
        <v>65</v>
      </c>
      <c r="G561" t="s">
        <v>2</v>
      </c>
      <c r="H561" s="2">
        <v>9</v>
      </c>
      <c r="I561" s="3">
        <f t="shared" ca="1" si="0"/>
        <v>0.34421866693788084</v>
      </c>
      <c r="J561" s="4">
        <f ca="1">(Table3[[#This Row],[Price of One Product]]*Table3[[#This Row],[No of Products in one Sale]])-Table3[[#This Row],[Discount]]</f>
        <v>584.65578133306212</v>
      </c>
    </row>
    <row r="562" spans="1:10" x14ac:dyDescent="0.3">
      <c r="A562" t="s">
        <v>585</v>
      </c>
      <c r="B562" t="s">
        <v>53</v>
      </c>
      <c r="C562" s="1">
        <v>44800</v>
      </c>
      <c r="D562" t="s">
        <v>61</v>
      </c>
      <c r="E562" t="s">
        <v>67</v>
      </c>
      <c r="F562">
        <v>250</v>
      </c>
      <c r="G562" t="s">
        <v>0</v>
      </c>
      <c r="H562" s="2">
        <v>3</v>
      </c>
      <c r="I562" s="3">
        <f t="shared" ca="1" si="0"/>
        <v>0.45603433511802716</v>
      </c>
      <c r="J562" s="4">
        <f ca="1">(Table3[[#This Row],[Price of One Product]]*Table3[[#This Row],[No of Products in one Sale]])-Table3[[#This Row],[Discount]]</f>
        <v>749.54396566488197</v>
      </c>
    </row>
    <row r="563" spans="1:10" x14ac:dyDescent="0.3">
      <c r="A563" t="s">
        <v>586</v>
      </c>
      <c r="B563" t="s">
        <v>54</v>
      </c>
      <c r="C563" s="1">
        <v>44792</v>
      </c>
      <c r="D563" t="s">
        <v>62</v>
      </c>
      <c r="E563" t="s">
        <v>66</v>
      </c>
      <c r="F563">
        <v>130</v>
      </c>
      <c r="G563" t="s">
        <v>1</v>
      </c>
      <c r="H563" s="2">
        <v>5</v>
      </c>
      <c r="I563" s="3">
        <f t="shared" ca="1" si="0"/>
        <v>0.89997317514822206</v>
      </c>
      <c r="J563" s="4">
        <f ca="1">(Table3[[#This Row],[Price of One Product]]*Table3[[#This Row],[No of Products in one Sale]])-Table3[[#This Row],[Discount]]</f>
        <v>649.10002682485174</v>
      </c>
    </row>
    <row r="564" spans="1:10" x14ac:dyDescent="0.3">
      <c r="A564" t="s">
        <v>587</v>
      </c>
      <c r="B564" t="s">
        <v>55</v>
      </c>
      <c r="C564" s="1">
        <v>44809</v>
      </c>
      <c r="D564" t="s">
        <v>63</v>
      </c>
      <c r="E564" t="s">
        <v>66</v>
      </c>
      <c r="F564">
        <v>60</v>
      </c>
      <c r="G564" t="s">
        <v>2</v>
      </c>
      <c r="H564" s="2">
        <v>4</v>
      </c>
      <c r="I564" s="3">
        <f t="shared" ca="1" si="0"/>
        <v>0.36972681281797148</v>
      </c>
      <c r="J564" s="4">
        <f ca="1">(Table3[[#This Row],[Price of One Product]]*Table3[[#This Row],[No of Products in one Sale]])-Table3[[#This Row],[Discount]]</f>
        <v>239.63027318718204</v>
      </c>
    </row>
    <row r="565" spans="1:10" x14ac:dyDescent="0.3">
      <c r="A565" t="s">
        <v>588</v>
      </c>
      <c r="B565" t="s">
        <v>56</v>
      </c>
      <c r="C565" s="1">
        <v>44789</v>
      </c>
      <c r="D565" t="s">
        <v>64</v>
      </c>
      <c r="E565" t="s">
        <v>67</v>
      </c>
      <c r="F565">
        <v>95</v>
      </c>
      <c r="G565" t="s">
        <v>0</v>
      </c>
      <c r="H565" s="2">
        <v>8</v>
      </c>
      <c r="I565" s="3">
        <f t="shared" ca="1" si="0"/>
        <v>0.9530710192620121</v>
      </c>
      <c r="J565" s="4">
        <f ca="1">(Table3[[#This Row],[Price of One Product]]*Table3[[#This Row],[No of Products in one Sale]])-Table3[[#This Row],[Discount]]</f>
        <v>759.04692898073802</v>
      </c>
    </row>
    <row r="566" spans="1:10" x14ac:dyDescent="0.3">
      <c r="A566" t="s">
        <v>589</v>
      </c>
      <c r="B566" t="s">
        <v>51</v>
      </c>
      <c r="C566" s="1">
        <v>44757</v>
      </c>
      <c r="D566" t="s">
        <v>59</v>
      </c>
      <c r="E566" t="s">
        <v>67</v>
      </c>
      <c r="F566">
        <v>72</v>
      </c>
      <c r="G566" t="s">
        <v>1</v>
      </c>
      <c r="H566" s="2">
        <v>9</v>
      </c>
      <c r="I566" s="3">
        <f t="shared" ref="I566:I629" ca="1" si="1">RAND()</f>
        <v>0.79551358488040858</v>
      </c>
      <c r="J566" s="4">
        <f ca="1">(Table3[[#This Row],[Price of One Product]]*Table3[[#This Row],[No of Products in one Sale]])-Table3[[#This Row],[Discount]]</f>
        <v>647.20448641511962</v>
      </c>
    </row>
    <row r="567" spans="1:10" x14ac:dyDescent="0.3">
      <c r="A567" t="s">
        <v>590</v>
      </c>
      <c r="B567" t="s">
        <v>52</v>
      </c>
      <c r="C567" s="1">
        <v>44790</v>
      </c>
      <c r="D567" t="s">
        <v>60</v>
      </c>
      <c r="E567" t="s">
        <v>67</v>
      </c>
      <c r="F567">
        <v>65</v>
      </c>
      <c r="G567" t="s">
        <v>2</v>
      </c>
      <c r="H567" s="2">
        <v>6</v>
      </c>
      <c r="I567" s="3">
        <f t="shared" ca="1" si="1"/>
        <v>7.6635529714359052E-2</v>
      </c>
      <c r="J567" s="4">
        <f ca="1">(Table3[[#This Row],[Price of One Product]]*Table3[[#This Row],[No of Products in one Sale]])-Table3[[#This Row],[Discount]]</f>
        <v>389.92336447028566</v>
      </c>
    </row>
    <row r="568" spans="1:10" x14ac:dyDescent="0.3">
      <c r="A568" t="s">
        <v>591</v>
      </c>
      <c r="B568" t="s">
        <v>53</v>
      </c>
      <c r="C568" s="1">
        <v>44808</v>
      </c>
      <c r="D568" t="s">
        <v>61</v>
      </c>
      <c r="E568" t="s">
        <v>66</v>
      </c>
      <c r="F568">
        <v>250</v>
      </c>
      <c r="G568" t="s">
        <v>0</v>
      </c>
      <c r="H568" s="2">
        <v>4</v>
      </c>
      <c r="I568" s="3">
        <f t="shared" ca="1" si="1"/>
        <v>0.3470219808609456</v>
      </c>
      <c r="J568" s="4">
        <f ca="1">(Table3[[#This Row],[Price of One Product]]*Table3[[#This Row],[No of Products in one Sale]])-Table3[[#This Row],[Discount]]</f>
        <v>999.65297801913903</v>
      </c>
    </row>
    <row r="569" spans="1:10" x14ac:dyDescent="0.3">
      <c r="A569" t="s">
        <v>592</v>
      </c>
      <c r="B569" t="s">
        <v>54</v>
      </c>
      <c r="C569" s="1">
        <v>44801</v>
      </c>
      <c r="D569" t="s">
        <v>62</v>
      </c>
      <c r="E569" t="s">
        <v>66</v>
      </c>
      <c r="F569">
        <v>130</v>
      </c>
      <c r="G569" t="s">
        <v>1</v>
      </c>
      <c r="H569" s="2">
        <v>4</v>
      </c>
      <c r="I569" s="3">
        <f t="shared" ca="1" si="1"/>
        <v>0.25939288712004271</v>
      </c>
      <c r="J569" s="4">
        <f ca="1">(Table3[[#This Row],[Price of One Product]]*Table3[[#This Row],[No of Products in one Sale]])-Table3[[#This Row],[Discount]]</f>
        <v>519.74060711287996</v>
      </c>
    </row>
    <row r="570" spans="1:10" x14ac:dyDescent="0.3">
      <c r="A570" t="s">
        <v>593</v>
      </c>
      <c r="B570" t="s">
        <v>51</v>
      </c>
      <c r="C570" s="1">
        <v>44769</v>
      </c>
      <c r="D570" t="s">
        <v>59</v>
      </c>
      <c r="E570" t="s">
        <v>66</v>
      </c>
      <c r="F570">
        <v>72</v>
      </c>
      <c r="G570" t="s">
        <v>2</v>
      </c>
      <c r="H570" s="2">
        <v>9</v>
      </c>
      <c r="I570" s="3">
        <f t="shared" ca="1" si="1"/>
        <v>0.94133896494507174</v>
      </c>
      <c r="J570" s="4">
        <f ca="1">(Table3[[#This Row],[Price of One Product]]*Table3[[#This Row],[No of Products in one Sale]])-Table3[[#This Row],[Discount]]</f>
        <v>647.05866103505491</v>
      </c>
    </row>
    <row r="571" spans="1:10" x14ac:dyDescent="0.3">
      <c r="A571" t="s">
        <v>594</v>
      </c>
      <c r="B571" t="s">
        <v>52</v>
      </c>
      <c r="C571" s="1">
        <v>44757</v>
      </c>
      <c r="D571" t="s">
        <v>60</v>
      </c>
      <c r="E571" t="s">
        <v>66</v>
      </c>
      <c r="F571">
        <v>65</v>
      </c>
      <c r="G571" t="s">
        <v>0</v>
      </c>
      <c r="H571" s="2">
        <v>8</v>
      </c>
      <c r="I571" s="3">
        <f t="shared" ca="1" si="1"/>
        <v>2.1906731307393068E-2</v>
      </c>
      <c r="J571" s="4">
        <f ca="1">(Table3[[#This Row],[Price of One Product]]*Table3[[#This Row],[No of Products in one Sale]])-Table3[[#This Row],[Discount]]</f>
        <v>519.97809326869265</v>
      </c>
    </row>
    <row r="572" spans="1:10" x14ac:dyDescent="0.3">
      <c r="A572" t="s">
        <v>595</v>
      </c>
      <c r="B572" t="s">
        <v>53</v>
      </c>
      <c r="C572" s="1">
        <v>44759</v>
      </c>
      <c r="D572" t="s">
        <v>61</v>
      </c>
      <c r="E572" t="s">
        <v>66</v>
      </c>
      <c r="F572">
        <v>250</v>
      </c>
      <c r="G572" t="s">
        <v>1</v>
      </c>
      <c r="H572" s="2">
        <v>1</v>
      </c>
      <c r="I572" s="3">
        <f t="shared" ca="1" si="1"/>
        <v>0.45686719721946534</v>
      </c>
      <c r="J572" s="4">
        <f ca="1">(Table3[[#This Row],[Price of One Product]]*Table3[[#This Row],[No of Products in one Sale]])-Table3[[#This Row],[Discount]]</f>
        <v>249.54313280278055</v>
      </c>
    </row>
    <row r="573" spans="1:10" x14ac:dyDescent="0.3">
      <c r="A573" t="s">
        <v>596</v>
      </c>
      <c r="B573" t="s">
        <v>54</v>
      </c>
      <c r="C573" s="1">
        <v>44805</v>
      </c>
      <c r="D573" t="s">
        <v>62</v>
      </c>
      <c r="E573" t="s">
        <v>66</v>
      </c>
      <c r="F573">
        <v>130</v>
      </c>
      <c r="G573" t="s">
        <v>2</v>
      </c>
      <c r="H573" s="2">
        <v>3</v>
      </c>
      <c r="I573" s="3">
        <f t="shared" ca="1" si="1"/>
        <v>0.30817762076558897</v>
      </c>
      <c r="J573" s="4">
        <f ca="1">(Table3[[#This Row],[Price of One Product]]*Table3[[#This Row],[No of Products in one Sale]])-Table3[[#This Row],[Discount]]</f>
        <v>389.6918223792344</v>
      </c>
    </row>
    <row r="574" spans="1:10" x14ac:dyDescent="0.3">
      <c r="A574" t="s">
        <v>597</v>
      </c>
      <c r="B574" t="s">
        <v>55</v>
      </c>
      <c r="C574" s="1">
        <v>44760</v>
      </c>
      <c r="D574" t="s">
        <v>63</v>
      </c>
      <c r="E574" t="s">
        <v>66</v>
      </c>
      <c r="F574">
        <v>60</v>
      </c>
      <c r="G574" t="s">
        <v>0</v>
      </c>
      <c r="H574" s="2">
        <v>13</v>
      </c>
      <c r="I574" s="3">
        <f t="shared" ca="1" si="1"/>
        <v>0.69664546899644653</v>
      </c>
      <c r="J574" s="4">
        <f ca="1">(Table3[[#This Row],[Price of One Product]]*Table3[[#This Row],[No of Products in one Sale]])-Table3[[#This Row],[Discount]]</f>
        <v>779.30335453100361</v>
      </c>
    </row>
    <row r="575" spans="1:10" x14ac:dyDescent="0.3">
      <c r="A575" t="s">
        <v>598</v>
      </c>
      <c r="B575" t="s">
        <v>51</v>
      </c>
      <c r="C575" s="1">
        <v>44791</v>
      </c>
      <c r="D575" t="s">
        <v>59</v>
      </c>
      <c r="E575" t="s">
        <v>66</v>
      </c>
      <c r="F575">
        <v>72</v>
      </c>
      <c r="G575" t="s">
        <v>1</v>
      </c>
      <c r="H575" s="2">
        <v>4</v>
      </c>
      <c r="I575" s="3">
        <f t="shared" ca="1" si="1"/>
        <v>0.60982758504503842</v>
      </c>
      <c r="J575" s="4">
        <f ca="1">(Table3[[#This Row],[Price of One Product]]*Table3[[#This Row],[No of Products in one Sale]])-Table3[[#This Row],[Discount]]</f>
        <v>287.39017241495498</v>
      </c>
    </row>
    <row r="576" spans="1:10" x14ac:dyDescent="0.3">
      <c r="A576" t="s">
        <v>599</v>
      </c>
      <c r="B576" t="s">
        <v>52</v>
      </c>
      <c r="C576" s="1">
        <v>44768</v>
      </c>
      <c r="D576" t="s">
        <v>60</v>
      </c>
      <c r="E576" t="s">
        <v>66</v>
      </c>
      <c r="F576">
        <v>65</v>
      </c>
      <c r="G576" t="s">
        <v>2</v>
      </c>
      <c r="H576" s="2">
        <v>12</v>
      </c>
      <c r="I576" s="3">
        <f t="shared" ca="1" si="1"/>
        <v>0.49849341988784046</v>
      </c>
      <c r="J576" s="4">
        <f ca="1">(Table3[[#This Row],[Price of One Product]]*Table3[[#This Row],[No of Products in one Sale]])-Table3[[#This Row],[Discount]]</f>
        <v>779.50150658011216</v>
      </c>
    </row>
    <row r="577" spans="1:10" x14ac:dyDescent="0.3">
      <c r="A577" t="s">
        <v>600</v>
      </c>
      <c r="B577" t="s">
        <v>53</v>
      </c>
      <c r="C577" s="1">
        <v>44759</v>
      </c>
      <c r="D577" t="s">
        <v>61</v>
      </c>
      <c r="E577" t="s">
        <v>67</v>
      </c>
      <c r="F577">
        <v>250</v>
      </c>
      <c r="G577" t="s">
        <v>0</v>
      </c>
      <c r="H577" s="2">
        <v>3</v>
      </c>
      <c r="I577" s="3">
        <f t="shared" ca="1" si="1"/>
        <v>0.96091939681253558</v>
      </c>
      <c r="J577" s="4">
        <f ca="1">(Table3[[#This Row],[Price of One Product]]*Table3[[#This Row],[No of Products in one Sale]])-Table3[[#This Row],[Discount]]</f>
        <v>749.03908060318747</v>
      </c>
    </row>
    <row r="578" spans="1:10" x14ac:dyDescent="0.3">
      <c r="A578" t="s">
        <v>601</v>
      </c>
      <c r="B578" t="s">
        <v>54</v>
      </c>
      <c r="C578" s="1">
        <v>44781</v>
      </c>
      <c r="D578" t="s">
        <v>62</v>
      </c>
      <c r="E578" t="s">
        <v>66</v>
      </c>
      <c r="F578">
        <v>130</v>
      </c>
      <c r="G578" t="s">
        <v>1</v>
      </c>
      <c r="H578" s="2">
        <v>6</v>
      </c>
      <c r="I578" s="3">
        <f t="shared" ca="1" si="1"/>
        <v>0.58925228253795869</v>
      </c>
      <c r="J578" s="4">
        <f ca="1">(Table3[[#This Row],[Price of One Product]]*Table3[[#This Row],[No of Products in one Sale]])-Table3[[#This Row],[Discount]]</f>
        <v>779.41074771746207</v>
      </c>
    </row>
    <row r="579" spans="1:10" x14ac:dyDescent="0.3">
      <c r="A579" t="s">
        <v>602</v>
      </c>
      <c r="B579" t="s">
        <v>51</v>
      </c>
      <c r="C579" s="1">
        <v>44785</v>
      </c>
      <c r="D579" t="s">
        <v>59</v>
      </c>
      <c r="E579" t="s">
        <v>66</v>
      </c>
      <c r="F579">
        <v>72</v>
      </c>
      <c r="G579" t="s">
        <v>2</v>
      </c>
      <c r="H579" s="2">
        <v>5</v>
      </c>
      <c r="I579" s="3">
        <f t="shared" ca="1" si="1"/>
        <v>0.69746970724458235</v>
      </c>
      <c r="J579" s="4">
        <f ca="1">(Table3[[#This Row],[Price of One Product]]*Table3[[#This Row],[No of Products in one Sale]])-Table3[[#This Row],[Discount]]</f>
        <v>359.30253029275542</v>
      </c>
    </row>
    <row r="580" spans="1:10" x14ac:dyDescent="0.3">
      <c r="A580" t="s">
        <v>603</v>
      </c>
      <c r="B580" t="s">
        <v>52</v>
      </c>
      <c r="C580" s="1">
        <v>44775</v>
      </c>
      <c r="D580" t="s">
        <v>60</v>
      </c>
      <c r="E580" t="s">
        <v>66</v>
      </c>
      <c r="F580">
        <v>65</v>
      </c>
      <c r="G580" t="s">
        <v>0</v>
      </c>
      <c r="H580" s="2">
        <v>11</v>
      </c>
      <c r="I580" s="3">
        <f t="shared" ca="1" si="1"/>
        <v>0.80655209547933726</v>
      </c>
      <c r="J580" s="4">
        <f ca="1">(Table3[[#This Row],[Price of One Product]]*Table3[[#This Row],[No of Products in one Sale]])-Table3[[#This Row],[Discount]]</f>
        <v>714.19344790452067</v>
      </c>
    </row>
    <row r="581" spans="1:10" x14ac:dyDescent="0.3">
      <c r="A581" t="s">
        <v>604</v>
      </c>
      <c r="B581" t="s">
        <v>53</v>
      </c>
      <c r="C581" s="1">
        <v>44773</v>
      </c>
      <c r="D581" t="s">
        <v>61</v>
      </c>
      <c r="E581" t="s">
        <v>66</v>
      </c>
      <c r="F581">
        <v>250</v>
      </c>
      <c r="G581" t="s">
        <v>1</v>
      </c>
      <c r="H581" s="2">
        <v>2</v>
      </c>
      <c r="I581" s="3">
        <f t="shared" ca="1" si="1"/>
        <v>0.76006624229127595</v>
      </c>
      <c r="J581" s="4">
        <f ca="1">(Table3[[#This Row],[Price of One Product]]*Table3[[#This Row],[No of Products in one Sale]])-Table3[[#This Row],[Discount]]</f>
        <v>499.23993375770874</v>
      </c>
    </row>
    <row r="582" spans="1:10" x14ac:dyDescent="0.3">
      <c r="A582" t="s">
        <v>605</v>
      </c>
      <c r="B582" t="s">
        <v>54</v>
      </c>
      <c r="C582" s="1">
        <v>44796</v>
      </c>
      <c r="D582" t="s">
        <v>62</v>
      </c>
      <c r="E582" t="s">
        <v>66</v>
      </c>
      <c r="F582">
        <v>130</v>
      </c>
      <c r="G582" t="s">
        <v>2</v>
      </c>
      <c r="H582" s="2">
        <v>2</v>
      </c>
      <c r="I582" s="3">
        <f t="shared" ca="1" si="1"/>
        <v>0.86194880867864454</v>
      </c>
      <c r="J582" s="4">
        <f ca="1">(Table3[[#This Row],[Price of One Product]]*Table3[[#This Row],[No of Products in one Sale]])-Table3[[#This Row],[Discount]]</f>
        <v>259.13805119132138</v>
      </c>
    </row>
    <row r="583" spans="1:10" x14ac:dyDescent="0.3">
      <c r="A583" t="s">
        <v>606</v>
      </c>
      <c r="B583" t="s">
        <v>55</v>
      </c>
      <c r="C583" s="1">
        <v>44801</v>
      </c>
      <c r="D583" t="s">
        <v>63</v>
      </c>
      <c r="E583" t="s">
        <v>67</v>
      </c>
      <c r="F583">
        <v>60</v>
      </c>
      <c r="G583" t="s">
        <v>0</v>
      </c>
      <c r="H583" s="2">
        <v>10</v>
      </c>
      <c r="I583" s="3">
        <f t="shared" ca="1" si="1"/>
        <v>0.89562310478388374</v>
      </c>
      <c r="J583" s="4">
        <f ca="1">(Table3[[#This Row],[Price of One Product]]*Table3[[#This Row],[No of Products in one Sale]])-Table3[[#This Row],[Discount]]</f>
        <v>599.10437689521609</v>
      </c>
    </row>
    <row r="584" spans="1:10" x14ac:dyDescent="0.3">
      <c r="A584" t="s">
        <v>607</v>
      </c>
      <c r="B584" t="s">
        <v>56</v>
      </c>
      <c r="C584" s="1">
        <v>44779</v>
      </c>
      <c r="D584" t="s">
        <v>64</v>
      </c>
      <c r="E584" t="s">
        <v>66</v>
      </c>
      <c r="F584">
        <v>95</v>
      </c>
      <c r="G584" t="s">
        <v>1</v>
      </c>
      <c r="H584" s="2">
        <v>6</v>
      </c>
      <c r="I584" s="3">
        <f t="shared" ca="1" si="1"/>
        <v>0.13945536190482533</v>
      </c>
      <c r="J584" s="4">
        <f ca="1">(Table3[[#This Row],[Price of One Product]]*Table3[[#This Row],[No of Products in one Sale]])-Table3[[#This Row],[Discount]]</f>
        <v>569.86054463809512</v>
      </c>
    </row>
    <row r="585" spans="1:10" x14ac:dyDescent="0.3">
      <c r="A585" t="s">
        <v>608</v>
      </c>
      <c r="B585" t="s">
        <v>51</v>
      </c>
      <c r="C585" s="1">
        <v>44772</v>
      </c>
      <c r="D585" t="s">
        <v>59</v>
      </c>
      <c r="E585" t="s">
        <v>66</v>
      </c>
      <c r="F585">
        <v>72</v>
      </c>
      <c r="G585" t="s">
        <v>2</v>
      </c>
      <c r="H585" s="2">
        <v>7</v>
      </c>
      <c r="I585" s="3">
        <f t="shared" ca="1" si="1"/>
        <v>0.12940813590379585</v>
      </c>
      <c r="J585" s="4">
        <f ca="1">(Table3[[#This Row],[Price of One Product]]*Table3[[#This Row],[No of Products in one Sale]])-Table3[[#This Row],[Discount]]</f>
        <v>503.87059186409618</v>
      </c>
    </row>
    <row r="586" spans="1:10" x14ac:dyDescent="0.3">
      <c r="A586" t="s">
        <v>609</v>
      </c>
      <c r="B586" t="s">
        <v>52</v>
      </c>
      <c r="C586" s="1">
        <v>44757</v>
      </c>
      <c r="D586" t="s">
        <v>60</v>
      </c>
      <c r="E586" t="s">
        <v>66</v>
      </c>
      <c r="F586">
        <v>65</v>
      </c>
      <c r="G586" t="s">
        <v>0</v>
      </c>
      <c r="H586" s="2">
        <v>8</v>
      </c>
      <c r="I586" s="3">
        <f t="shared" ca="1" si="1"/>
        <v>0.47553096795942651</v>
      </c>
      <c r="J586" s="4">
        <f ca="1">(Table3[[#This Row],[Price of One Product]]*Table3[[#This Row],[No of Products in one Sale]])-Table3[[#This Row],[Discount]]</f>
        <v>519.52446903204054</v>
      </c>
    </row>
    <row r="587" spans="1:10" x14ac:dyDescent="0.3">
      <c r="A587" t="s">
        <v>610</v>
      </c>
      <c r="B587" t="s">
        <v>53</v>
      </c>
      <c r="C587" s="1">
        <v>44808</v>
      </c>
      <c r="D587" t="s">
        <v>61</v>
      </c>
      <c r="E587" t="s">
        <v>67</v>
      </c>
      <c r="F587">
        <v>250</v>
      </c>
      <c r="G587" t="s">
        <v>1</v>
      </c>
      <c r="H587" s="2">
        <v>4</v>
      </c>
      <c r="I587" s="3">
        <f t="shared" ca="1" si="1"/>
        <v>0.65660220419507886</v>
      </c>
      <c r="J587" s="4">
        <f ca="1">(Table3[[#This Row],[Price of One Product]]*Table3[[#This Row],[No of Products in one Sale]])-Table3[[#This Row],[Discount]]</f>
        <v>999.34339779580489</v>
      </c>
    </row>
    <row r="588" spans="1:10" x14ac:dyDescent="0.3">
      <c r="A588" t="s">
        <v>611</v>
      </c>
      <c r="B588" t="s">
        <v>54</v>
      </c>
      <c r="C588" s="1">
        <v>44782</v>
      </c>
      <c r="D588" t="s">
        <v>62</v>
      </c>
      <c r="E588" t="s">
        <v>67</v>
      </c>
      <c r="F588">
        <v>130</v>
      </c>
      <c r="G588" t="s">
        <v>2</v>
      </c>
      <c r="H588" s="2">
        <v>6</v>
      </c>
      <c r="I588" s="3">
        <f t="shared" ca="1" si="1"/>
        <v>0.98330428194686714</v>
      </c>
      <c r="J588" s="4">
        <f ca="1">(Table3[[#This Row],[Price of One Product]]*Table3[[#This Row],[No of Products in one Sale]])-Table3[[#This Row],[Discount]]</f>
        <v>779.01669571805314</v>
      </c>
    </row>
    <row r="589" spans="1:10" x14ac:dyDescent="0.3">
      <c r="A589" t="s">
        <v>612</v>
      </c>
      <c r="B589" t="s">
        <v>51</v>
      </c>
      <c r="C589" s="1">
        <v>44787</v>
      </c>
      <c r="D589" t="s">
        <v>59</v>
      </c>
      <c r="E589" t="s">
        <v>67</v>
      </c>
      <c r="F589">
        <v>72</v>
      </c>
      <c r="G589" t="s">
        <v>0</v>
      </c>
      <c r="H589" s="2">
        <v>4</v>
      </c>
      <c r="I589" s="3">
        <f t="shared" ca="1" si="1"/>
        <v>0.80024287941446104</v>
      </c>
      <c r="J589" s="4">
        <f ca="1">(Table3[[#This Row],[Price of One Product]]*Table3[[#This Row],[No of Products in one Sale]])-Table3[[#This Row],[Discount]]</f>
        <v>287.19975712058556</v>
      </c>
    </row>
    <row r="590" spans="1:10" x14ac:dyDescent="0.3">
      <c r="A590" t="s">
        <v>613</v>
      </c>
      <c r="B590" t="s">
        <v>52</v>
      </c>
      <c r="C590" s="1">
        <v>44787</v>
      </c>
      <c r="D590" t="s">
        <v>60</v>
      </c>
      <c r="E590" t="s">
        <v>67</v>
      </c>
      <c r="F590">
        <v>65</v>
      </c>
      <c r="G590" t="s">
        <v>1</v>
      </c>
      <c r="H590" s="2">
        <v>9</v>
      </c>
      <c r="I590" s="3">
        <f t="shared" ca="1" si="1"/>
        <v>0.15743566552333921</v>
      </c>
      <c r="J590" s="4">
        <f ca="1">(Table3[[#This Row],[Price of One Product]]*Table3[[#This Row],[No of Products in one Sale]])-Table3[[#This Row],[Discount]]</f>
        <v>584.84256433447661</v>
      </c>
    </row>
    <row r="591" spans="1:10" x14ac:dyDescent="0.3">
      <c r="A591" t="s">
        <v>614</v>
      </c>
      <c r="B591" t="s">
        <v>53</v>
      </c>
      <c r="C591" s="1">
        <v>44757</v>
      </c>
      <c r="D591" t="s">
        <v>61</v>
      </c>
      <c r="E591" t="s">
        <v>67</v>
      </c>
      <c r="F591">
        <v>250</v>
      </c>
      <c r="G591" t="s">
        <v>2</v>
      </c>
      <c r="H591" s="2">
        <v>1</v>
      </c>
      <c r="I591" s="3">
        <f t="shared" ca="1" si="1"/>
        <v>0.29713253339783863</v>
      </c>
      <c r="J591" s="4">
        <f ca="1">(Table3[[#This Row],[Price of One Product]]*Table3[[#This Row],[No of Products in one Sale]])-Table3[[#This Row],[Discount]]</f>
        <v>249.70286746660216</v>
      </c>
    </row>
    <row r="592" spans="1:10" x14ac:dyDescent="0.3">
      <c r="A592" t="s">
        <v>615</v>
      </c>
      <c r="B592" t="s">
        <v>54</v>
      </c>
      <c r="C592" s="1">
        <v>44761</v>
      </c>
      <c r="D592" t="s">
        <v>62</v>
      </c>
      <c r="E592" t="s">
        <v>67</v>
      </c>
      <c r="F592">
        <v>130</v>
      </c>
      <c r="G592" t="s">
        <v>0</v>
      </c>
      <c r="H592" s="2">
        <v>3</v>
      </c>
      <c r="I592" s="3">
        <f t="shared" ca="1" si="1"/>
        <v>0.16588592523132772</v>
      </c>
      <c r="J592" s="4">
        <f ca="1">(Table3[[#This Row],[Price of One Product]]*Table3[[#This Row],[No of Products in one Sale]])-Table3[[#This Row],[Discount]]</f>
        <v>389.83411407476865</v>
      </c>
    </row>
    <row r="593" spans="1:10" x14ac:dyDescent="0.3">
      <c r="A593" t="s">
        <v>616</v>
      </c>
      <c r="B593" t="s">
        <v>51</v>
      </c>
      <c r="C593" s="1">
        <v>44788</v>
      </c>
      <c r="D593" t="s">
        <v>59</v>
      </c>
      <c r="E593" t="s">
        <v>66</v>
      </c>
      <c r="F593">
        <v>72</v>
      </c>
      <c r="G593" t="s">
        <v>0</v>
      </c>
      <c r="H593" s="2">
        <v>6</v>
      </c>
      <c r="I593" s="3">
        <f t="shared" ca="1" si="1"/>
        <v>0.66148203381203463</v>
      </c>
      <c r="J593" s="4">
        <f ca="1">(Table3[[#This Row],[Price of One Product]]*Table3[[#This Row],[No of Products in one Sale]])-Table3[[#This Row],[Discount]]</f>
        <v>431.33851796618796</v>
      </c>
    </row>
    <row r="594" spans="1:10" x14ac:dyDescent="0.3">
      <c r="A594" t="s">
        <v>617</v>
      </c>
      <c r="B594" t="s">
        <v>52</v>
      </c>
      <c r="C594" s="1">
        <v>44788</v>
      </c>
      <c r="D594" t="s">
        <v>60</v>
      </c>
      <c r="E594" t="s">
        <v>67</v>
      </c>
      <c r="F594">
        <v>65</v>
      </c>
      <c r="G594" t="s">
        <v>1</v>
      </c>
      <c r="H594" s="2">
        <v>13</v>
      </c>
      <c r="I594" s="3">
        <f t="shared" ca="1" si="1"/>
        <v>0.8740955452242688</v>
      </c>
      <c r="J594" s="4">
        <f ca="1">(Table3[[#This Row],[Price of One Product]]*Table3[[#This Row],[No of Products in one Sale]])-Table3[[#This Row],[Discount]]</f>
        <v>844.12590445477576</v>
      </c>
    </row>
    <row r="595" spans="1:10" x14ac:dyDescent="0.3">
      <c r="A595" t="s">
        <v>618</v>
      </c>
      <c r="B595" t="s">
        <v>53</v>
      </c>
      <c r="C595" s="1">
        <v>44758</v>
      </c>
      <c r="D595" t="s">
        <v>61</v>
      </c>
      <c r="E595" t="s">
        <v>66</v>
      </c>
      <c r="F595">
        <v>250</v>
      </c>
      <c r="G595" t="s">
        <v>2</v>
      </c>
      <c r="H595" s="2">
        <v>1</v>
      </c>
      <c r="I595" s="3">
        <f t="shared" ca="1" si="1"/>
        <v>0.57799399174057986</v>
      </c>
      <c r="J595" s="4">
        <f ca="1">(Table3[[#This Row],[Price of One Product]]*Table3[[#This Row],[No of Products in one Sale]])-Table3[[#This Row],[Discount]]</f>
        <v>249.42200600825942</v>
      </c>
    </row>
    <row r="596" spans="1:10" x14ac:dyDescent="0.3">
      <c r="A596" t="s">
        <v>619</v>
      </c>
      <c r="B596" t="s">
        <v>54</v>
      </c>
      <c r="C596" s="1">
        <v>44795</v>
      </c>
      <c r="D596" t="s">
        <v>62</v>
      </c>
      <c r="E596" t="s">
        <v>67</v>
      </c>
      <c r="F596">
        <v>130</v>
      </c>
      <c r="G596" t="s">
        <v>0</v>
      </c>
      <c r="H596" s="2">
        <v>3</v>
      </c>
      <c r="I596" s="3">
        <f t="shared" ca="1" si="1"/>
        <v>0.42835424747855844</v>
      </c>
      <c r="J596" s="4">
        <f ca="1">(Table3[[#This Row],[Price of One Product]]*Table3[[#This Row],[No of Products in one Sale]])-Table3[[#This Row],[Discount]]</f>
        <v>389.57164575252142</v>
      </c>
    </row>
    <row r="597" spans="1:10" x14ac:dyDescent="0.3">
      <c r="A597" t="s">
        <v>620</v>
      </c>
      <c r="B597" t="s">
        <v>51</v>
      </c>
      <c r="C597" s="1">
        <v>44791</v>
      </c>
      <c r="D597" t="s">
        <v>59</v>
      </c>
      <c r="E597" t="s">
        <v>66</v>
      </c>
      <c r="F597">
        <v>72</v>
      </c>
      <c r="G597" t="s">
        <v>1</v>
      </c>
      <c r="H597" s="2">
        <v>6</v>
      </c>
      <c r="I597" s="3">
        <f t="shared" ca="1" si="1"/>
        <v>1.1276411184020008E-2</v>
      </c>
      <c r="J597" s="4">
        <f ca="1">(Table3[[#This Row],[Price of One Product]]*Table3[[#This Row],[No of Products in one Sale]])-Table3[[#This Row],[Discount]]</f>
        <v>431.98872358881596</v>
      </c>
    </row>
    <row r="598" spans="1:10" x14ac:dyDescent="0.3">
      <c r="A598" t="s">
        <v>621</v>
      </c>
      <c r="B598" t="s">
        <v>52</v>
      </c>
      <c r="C598" s="1">
        <v>44791</v>
      </c>
      <c r="D598" t="s">
        <v>60</v>
      </c>
      <c r="E598" t="s">
        <v>67</v>
      </c>
      <c r="F598">
        <v>65</v>
      </c>
      <c r="G598" t="s">
        <v>2</v>
      </c>
      <c r="H598" s="2">
        <v>12</v>
      </c>
      <c r="I598" s="3">
        <f t="shared" ca="1" si="1"/>
        <v>0.60836232531363266</v>
      </c>
      <c r="J598" s="4">
        <f ca="1">(Table3[[#This Row],[Price of One Product]]*Table3[[#This Row],[No of Products in one Sale]])-Table3[[#This Row],[Discount]]</f>
        <v>779.39163767468642</v>
      </c>
    </row>
    <row r="599" spans="1:10" x14ac:dyDescent="0.3">
      <c r="A599" t="s">
        <v>622</v>
      </c>
      <c r="B599" t="s">
        <v>53</v>
      </c>
      <c r="C599" s="1">
        <v>44794</v>
      </c>
      <c r="D599" t="s">
        <v>61</v>
      </c>
      <c r="E599" t="s">
        <v>66</v>
      </c>
      <c r="F599">
        <v>250</v>
      </c>
      <c r="G599" t="s">
        <v>0</v>
      </c>
      <c r="H599" s="2">
        <v>3</v>
      </c>
      <c r="I599" s="3">
        <f t="shared" ca="1" si="1"/>
        <v>4.3195106459713029E-2</v>
      </c>
      <c r="J599" s="4">
        <f ca="1">(Table3[[#This Row],[Price of One Product]]*Table3[[#This Row],[No of Products in one Sale]])-Table3[[#This Row],[Discount]]</f>
        <v>749.95680489354027</v>
      </c>
    </row>
    <row r="600" spans="1:10" x14ac:dyDescent="0.3">
      <c r="A600" t="s">
        <v>623</v>
      </c>
      <c r="B600" t="s">
        <v>54</v>
      </c>
      <c r="C600" s="1">
        <v>44756</v>
      </c>
      <c r="D600" t="s">
        <v>62</v>
      </c>
      <c r="E600" t="s">
        <v>67</v>
      </c>
      <c r="F600">
        <v>130</v>
      </c>
      <c r="G600" t="s">
        <v>1</v>
      </c>
      <c r="H600" s="2">
        <v>4</v>
      </c>
      <c r="I600" s="3">
        <f t="shared" ca="1" si="1"/>
        <v>0.89023602944540192</v>
      </c>
      <c r="J600" s="4">
        <f ca="1">(Table3[[#This Row],[Price of One Product]]*Table3[[#This Row],[No of Products in one Sale]])-Table3[[#This Row],[Discount]]</f>
        <v>519.10976397055458</v>
      </c>
    </row>
    <row r="601" spans="1:10" x14ac:dyDescent="0.3">
      <c r="A601" t="s">
        <v>624</v>
      </c>
      <c r="B601" t="s">
        <v>55</v>
      </c>
      <c r="C601" s="1">
        <v>44789</v>
      </c>
      <c r="D601" t="s">
        <v>63</v>
      </c>
      <c r="E601" t="s">
        <v>66</v>
      </c>
      <c r="F601">
        <v>60</v>
      </c>
      <c r="G601" t="s">
        <v>2</v>
      </c>
      <c r="H601" s="2">
        <v>11</v>
      </c>
      <c r="I601" s="3">
        <f t="shared" ca="1" si="1"/>
        <v>0.3508491932703266</v>
      </c>
      <c r="J601" s="4">
        <f ca="1">(Table3[[#This Row],[Price of One Product]]*Table3[[#This Row],[No of Products in one Sale]])-Table3[[#This Row],[Discount]]</f>
        <v>659.64915080672972</v>
      </c>
    </row>
    <row r="602" spans="1:10" x14ac:dyDescent="0.3">
      <c r="A602" t="s">
        <v>625</v>
      </c>
      <c r="B602" t="s">
        <v>51</v>
      </c>
      <c r="C602" s="1">
        <v>44810</v>
      </c>
      <c r="D602" t="s">
        <v>59</v>
      </c>
      <c r="E602" t="s">
        <v>67</v>
      </c>
      <c r="F602">
        <v>72</v>
      </c>
      <c r="G602" t="s">
        <v>0</v>
      </c>
      <c r="H602" s="2">
        <v>3</v>
      </c>
      <c r="I602" s="3">
        <f t="shared" ca="1" si="1"/>
        <v>0.24329984304410734</v>
      </c>
      <c r="J602" s="4">
        <f ca="1">(Table3[[#This Row],[Price of One Product]]*Table3[[#This Row],[No of Products in one Sale]])-Table3[[#This Row],[Discount]]</f>
        <v>215.7567001569559</v>
      </c>
    </row>
    <row r="603" spans="1:10" x14ac:dyDescent="0.3">
      <c r="A603" t="s">
        <v>626</v>
      </c>
      <c r="B603" t="s">
        <v>52</v>
      </c>
      <c r="C603" s="1">
        <v>44798</v>
      </c>
      <c r="D603" t="s">
        <v>60</v>
      </c>
      <c r="E603" t="s">
        <v>66</v>
      </c>
      <c r="F603">
        <v>65</v>
      </c>
      <c r="G603" t="s">
        <v>1</v>
      </c>
      <c r="H603" s="2">
        <v>8</v>
      </c>
      <c r="I603" s="3">
        <f t="shared" ca="1" si="1"/>
        <v>0.91921486610516101</v>
      </c>
      <c r="J603" s="4">
        <f ca="1">(Table3[[#This Row],[Price of One Product]]*Table3[[#This Row],[No of Products in one Sale]])-Table3[[#This Row],[Discount]]</f>
        <v>519.08078513389489</v>
      </c>
    </row>
    <row r="604" spans="1:10" x14ac:dyDescent="0.3">
      <c r="A604" t="s">
        <v>627</v>
      </c>
      <c r="B604" t="s">
        <v>53</v>
      </c>
      <c r="C604" s="1">
        <v>44791</v>
      </c>
      <c r="D604" t="s">
        <v>61</v>
      </c>
      <c r="E604" t="s">
        <v>67</v>
      </c>
      <c r="F604">
        <v>250</v>
      </c>
      <c r="G604" t="s">
        <v>2</v>
      </c>
      <c r="H604" s="2">
        <v>3</v>
      </c>
      <c r="I604" s="3">
        <f t="shared" ca="1" si="1"/>
        <v>0.91773870234562316</v>
      </c>
      <c r="J604" s="4">
        <f ca="1">(Table3[[#This Row],[Price of One Product]]*Table3[[#This Row],[No of Products in one Sale]])-Table3[[#This Row],[Discount]]</f>
        <v>749.08226129765433</v>
      </c>
    </row>
    <row r="605" spans="1:10" x14ac:dyDescent="0.3">
      <c r="A605" t="s">
        <v>628</v>
      </c>
      <c r="B605" t="s">
        <v>54</v>
      </c>
      <c r="C605" s="1">
        <v>44796</v>
      </c>
      <c r="D605" t="s">
        <v>62</v>
      </c>
      <c r="E605" t="s">
        <v>66</v>
      </c>
      <c r="F605">
        <v>130</v>
      </c>
      <c r="G605" t="s">
        <v>0</v>
      </c>
      <c r="H605" s="2">
        <v>2</v>
      </c>
      <c r="I605" s="3">
        <f t="shared" ca="1" si="1"/>
        <v>0.56122630590628109</v>
      </c>
      <c r="J605" s="4">
        <f ca="1">(Table3[[#This Row],[Price of One Product]]*Table3[[#This Row],[No of Products in one Sale]])-Table3[[#This Row],[Discount]]</f>
        <v>259.4387736940937</v>
      </c>
    </row>
    <row r="606" spans="1:10" x14ac:dyDescent="0.3">
      <c r="A606" t="s">
        <v>629</v>
      </c>
      <c r="B606" t="s">
        <v>51</v>
      </c>
      <c r="C606" s="1">
        <v>44810</v>
      </c>
      <c r="D606" t="s">
        <v>59</v>
      </c>
      <c r="E606" t="s">
        <v>67</v>
      </c>
      <c r="F606">
        <v>72</v>
      </c>
      <c r="G606" t="s">
        <v>1</v>
      </c>
      <c r="H606" s="2">
        <v>12</v>
      </c>
      <c r="I606" s="3">
        <f t="shared" ca="1" si="1"/>
        <v>0.25325195566509351</v>
      </c>
      <c r="J606" s="4">
        <f ca="1">(Table3[[#This Row],[Price of One Product]]*Table3[[#This Row],[No of Products in one Sale]])-Table3[[#This Row],[Discount]]</f>
        <v>863.74674804433494</v>
      </c>
    </row>
    <row r="607" spans="1:10" x14ac:dyDescent="0.3">
      <c r="A607" t="s">
        <v>630</v>
      </c>
      <c r="B607" t="s">
        <v>52</v>
      </c>
      <c r="C607" s="1">
        <v>44791</v>
      </c>
      <c r="D607" t="s">
        <v>60</v>
      </c>
      <c r="E607" t="s">
        <v>66</v>
      </c>
      <c r="F607">
        <v>65</v>
      </c>
      <c r="G607" t="s">
        <v>2</v>
      </c>
      <c r="H607" s="2">
        <v>13</v>
      </c>
      <c r="I607" s="3">
        <f t="shared" ca="1" si="1"/>
        <v>0.2169873204703443</v>
      </c>
      <c r="J607" s="4">
        <f ca="1">(Table3[[#This Row],[Price of One Product]]*Table3[[#This Row],[No of Products in one Sale]])-Table3[[#This Row],[Discount]]</f>
        <v>844.78301267952963</v>
      </c>
    </row>
    <row r="608" spans="1:10" x14ac:dyDescent="0.3">
      <c r="A608" t="s">
        <v>631</v>
      </c>
      <c r="B608" t="s">
        <v>53</v>
      </c>
      <c r="C608" s="1">
        <v>44797</v>
      </c>
      <c r="D608" t="s">
        <v>61</v>
      </c>
      <c r="E608" t="s">
        <v>67</v>
      </c>
      <c r="F608">
        <v>250</v>
      </c>
      <c r="G608" t="s">
        <v>0</v>
      </c>
      <c r="H608" s="2">
        <v>2</v>
      </c>
      <c r="I608" s="3">
        <f t="shared" ca="1" si="1"/>
        <v>0.40463257021090082</v>
      </c>
      <c r="J608" s="4">
        <f ca="1">(Table3[[#This Row],[Price of One Product]]*Table3[[#This Row],[No of Products in one Sale]])-Table3[[#This Row],[Discount]]</f>
        <v>499.59536742978912</v>
      </c>
    </row>
    <row r="609" spans="1:10" x14ac:dyDescent="0.3">
      <c r="A609" t="s">
        <v>632</v>
      </c>
      <c r="B609" t="s">
        <v>54</v>
      </c>
      <c r="C609" s="1">
        <v>44777</v>
      </c>
      <c r="D609" t="s">
        <v>62</v>
      </c>
      <c r="E609" t="s">
        <v>66</v>
      </c>
      <c r="F609">
        <v>130</v>
      </c>
      <c r="G609" t="s">
        <v>1</v>
      </c>
      <c r="H609" s="2">
        <v>4</v>
      </c>
      <c r="I609" s="3">
        <f t="shared" ca="1" si="1"/>
        <v>0.50819515685103467</v>
      </c>
      <c r="J609" s="4">
        <f ca="1">(Table3[[#This Row],[Price of One Product]]*Table3[[#This Row],[No of Products in one Sale]])-Table3[[#This Row],[Discount]]</f>
        <v>519.491804843149</v>
      </c>
    </row>
    <row r="610" spans="1:10" x14ac:dyDescent="0.3">
      <c r="A610" t="s">
        <v>633</v>
      </c>
      <c r="B610" t="s">
        <v>55</v>
      </c>
      <c r="C610" s="1">
        <v>44802</v>
      </c>
      <c r="D610" t="s">
        <v>63</v>
      </c>
      <c r="E610" t="s">
        <v>66</v>
      </c>
      <c r="F610">
        <v>60</v>
      </c>
      <c r="G610" t="s">
        <v>2</v>
      </c>
      <c r="H610" s="2">
        <v>4</v>
      </c>
      <c r="I610" s="3">
        <f t="shared" ca="1" si="1"/>
        <v>0.95726520444073071</v>
      </c>
      <c r="J610" s="4">
        <f ca="1">(Table3[[#This Row],[Price of One Product]]*Table3[[#This Row],[No of Products in one Sale]])-Table3[[#This Row],[Discount]]</f>
        <v>239.04273479555926</v>
      </c>
    </row>
    <row r="611" spans="1:10" x14ac:dyDescent="0.3">
      <c r="A611" t="s">
        <v>634</v>
      </c>
      <c r="B611" t="s">
        <v>56</v>
      </c>
      <c r="C611" s="1">
        <v>44758</v>
      </c>
      <c r="D611" t="s">
        <v>64</v>
      </c>
      <c r="E611" t="s">
        <v>67</v>
      </c>
      <c r="F611">
        <v>95</v>
      </c>
      <c r="G611" t="s">
        <v>0</v>
      </c>
      <c r="H611" s="2">
        <v>8</v>
      </c>
      <c r="I611" s="3">
        <f t="shared" ca="1" si="1"/>
        <v>0.52630780838328761</v>
      </c>
      <c r="J611" s="4">
        <f ca="1">(Table3[[#This Row],[Price of One Product]]*Table3[[#This Row],[No of Products in one Sale]])-Table3[[#This Row],[Discount]]</f>
        <v>759.47369219161669</v>
      </c>
    </row>
    <row r="612" spans="1:10" x14ac:dyDescent="0.3">
      <c r="A612" t="s">
        <v>635</v>
      </c>
      <c r="B612" t="s">
        <v>51</v>
      </c>
      <c r="C612" s="1">
        <v>44768</v>
      </c>
      <c r="D612" t="s">
        <v>59</v>
      </c>
      <c r="E612" t="s">
        <v>67</v>
      </c>
      <c r="F612">
        <v>72</v>
      </c>
      <c r="G612" t="s">
        <v>1</v>
      </c>
      <c r="H612" s="2">
        <v>10</v>
      </c>
      <c r="I612" s="3">
        <f t="shared" ca="1" si="1"/>
        <v>0.90934466866502839</v>
      </c>
      <c r="J612" s="4">
        <f ca="1">(Table3[[#This Row],[Price of One Product]]*Table3[[#This Row],[No of Products in one Sale]])-Table3[[#This Row],[Discount]]</f>
        <v>719.09065533133491</v>
      </c>
    </row>
    <row r="613" spans="1:10" x14ac:dyDescent="0.3">
      <c r="A613" t="s">
        <v>636</v>
      </c>
      <c r="B613" t="s">
        <v>52</v>
      </c>
      <c r="C613" s="1">
        <v>44756</v>
      </c>
      <c r="D613" t="s">
        <v>60</v>
      </c>
      <c r="E613" t="s">
        <v>67</v>
      </c>
      <c r="F613">
        <v>65</v>
      </c>
      <c r="G613" t="s">
        <v>2</v>
      </c>
      <c r="H613" s="2">
        <v>7</v>
      </c>
      <c r="I613" s="3">
        <f t="shared" ca="1" si="1"/>
        <v>0.71915534111355817</v>
      </c>
      <c r="J613" s="4">
        <f ca="1">(Table3[[#This Row],[Price of One Product]]*Table3[[#This Row],[No of Products in one Sale]])-Table3[[#This Row],[Discount]]</f>
        <v>454.28084465888645</v>
      </c>
    </row>
    <row r="614" spans="1:10" x14ac:dyDescent="0.3">
      <c r="A614" t="s">
        <v>637</v>
      </c>
      <c r="B614" t="s">
        <v>53</v>
      </c>
      <c r="C614" s="1">
        <v>44809</v>
      </c>
      <c r="D614" t="s">
        <v>61</v>
      </c>
      <c r="E614" t="s">
        <v>66</v>
      </c>
      <c r="F614">
        <v>250</v>
      </c>
      <c r="G614" t="s">
        <v>0</v>
      </c>
      <c r="H614" s="2">
        <v>3</v>
      </c>
      <c r="I614" s="3">
        <f t="shared" ca="1" si="1"/>
        <v>0.24650576160436088</v>
      </c>
      <c r="J614" s="4">
        <f ca="1">(Table3[[#This Row],[Price of One Product]]*Table3[[#This Row],[No of Products in one Sale]])-Table3[[#This Row],[Discount]]</f>
        <v>749.75349423839566</v>
      </c>
    </row>
    <row r="615" spans="1:10" x14ac:dyDescent="0.3">
      <c r="A615" t="s">
        <v>638</v>
      </c>
      <c r="B615" t="s">
        <v>54</v>
      </c>
      <c r="C615" s="1">
        <v>44801</v>
      </c>
      <c r="D615" t="s">
        <v>62</v>
      </c>
      <c r="E615" t="s">
        <v>66</v>
      </c>
      <c r="F615">
        <v>130</v>
      </c>
      <c r="G615" t="s">
        <v>1</v>
      </c>
      <c r="H615" s="2">
        <v>6</v>
      </c>
      <c r="I615" s="3">
        <f t="shared" ca="1" si="1"/>
        <v>0.85791344666509839</v>
      </c>
      <c r="J615" s="4">
        <f ca="1">(Table3[[#This Row],[Price of One Product]]*Table3[[#This Row],[No of Products in one Sale]])-Table3[[#This Row],[Discount]]</f>
        <v>779.14208655333493</v>
      </c>
    </row>
    <row r="616" spans="1:10" x14ac:dyDescent="0.3">
      <c r="A616" t="s">
        <v>639</v>
      </c>
      <c r="B616" t="s">
        <v>51</v>
      </c>
      <c r="C616" s="1">
        <v>44794</v>
      </c>
      <c r="D616" t="s">
        <v>59</v>
      </c>
      <c r="E616" t="s">
        <v>66</v>
      </c>
      <c r="F616">
        <v>72</v>
      </c>
      <c r="G616" t="s">
        <v>2</v>
      </c>
      <c r="H616" s="2">
        <v>7</v>
      </c>
      <c r="I616" s="3">
        <f t="shared" ca="1" si="1"/>
        <v>0.50902178768803508</v>
      </c>
      <c r="J616" s="4">
        <f ca="1">(Table3[[#This Row],[Price of One Product]]*Table3[[#This Row],[No of Products in one Sale]])-Table3[[#This Row],[Discount]]</f>
        <v>503.49097821231197</v>
      </c>
    </row>
    <row r="617" spans="1:10" x14ac:dyDescent="0.3">
      <c r="A617" t="s">
        <v>640</v>
      </c>
      <c r="B617" t="s">
        <v>52</v>
      </c>
      <c r="C617" s="1">
        <v>44792</v>
      </c>
      <c r="D617" t="s">
        <v>60</v>
      </c>
      <c r="E617" t="s">
        <v>66</v>
      </c>
      <c r="F617">
        <v>65</v>
      </c>
      <c r="G617" t="s">
        <v>0</v>
      </c>
      <c r="H617" s="2">
        <v>3</v>
      </c>
      <c r="I617" s="3">
        <f t="shared" ca="1" si="1"/>
        <v>0.25539643373496457</v>
      </c>
      <c r="J617" s="4">
        <f ca="1">(Table3[[#This Row],[Price of One Product]]*Table3[[#This Row],[No of Products in one Sale]])-Table3[[#This Row],[Discount]]</f>
        <v>194.74460356626503</v>
      </c>
    </row>
    <row r="618" spans="1:10" x14ac:dyDescent="0.3">
      <c r="A618" t="s">
        <v>641</v>
      </c>
      <c r="B618" t="s">
        <v>53</v>
      </c>
      <c r="C618" s="1">
        <v>44770</v>
      </c>
      <c r="D618" t="s">
        <v>61</v>
      </c>
      <c r="E618" t="s">
        <v>66</v>
      </c>
      <c r="F618">
        <v>250</v>
      </c>
      <c r="G618" t="s">
        <v>1</v>
      </c>
      <c r="H618" s="2">
        <v>1</v>
      </c>
      <c r="I618" s="3">
        <f t="shared" ca="1" si="1"/>
        <v>0.95100342987005737</v>
      </c>
      <c r="J618" s="4">
        <f ca="1">(Table3[[#This Row],[Price of One Product]]*Table3[[#This Row],[No of Products in one Sale]])-Table3[[#This Row],[Discount]]</f>
        <v>249.04899657012993</v>
      </c>
    </row>
    <row r="619" spans="1:10" x14ac:dyDescent="0.3">
      <c r="A619" t="s">
        <v>642</v>
      </c>
      <c r="B619" t="s">
        <v>54</v>
      </c>
      <c r="C619" s="1">
        <v>44761</v>
      </c>
      <c r="D619" t="s">
        <v>62</v>
      </c>
      <c r="E619" t="s">
        <v>66</v>
      </c>
      <c r="F619">
        <v>130</v>
      </c>
      <c r="G619" t="s">
        <v>2</v>
      </c>
      <c r="H619" s="2">
        <v>5</v>
      </c>
      <c r="I619" s="3">
        <f t="shared" ca="1" si="1"/>
        <v>3.9841023228637251E-2</v>
      </c>
      <c r="J619" s="4">
        <f ca="1">(Table3[[#This Row],[Price of One Product]]*Table3[[#This Row],[No of Products in one Sale]])-Table3[[#This Row],[Discount]]</f>
        <v>649.96015897677137</v>
      </c>
    </row>
    <row r="620" spans="1:10" x14ac:dyDescent="0.3">
      <c r="A620" t="s">
        <v>643</v>
      </c>
      <c r="B620" t="s">
        <v>55</v>
      </c>
      <c r="C620" s="1">
        <v>44773</v>
      </c>
      <c r="D620" t="s">
        <v>63</v>
      </c>
      <c r="E620" t="s">
        <v>66</v>
      </c>
      <c r="F620">
        <v>60</v>
      </c>
      <c r="G620" t="s">
        <v>0</v>
      </c>
      <c r="H620" s="2">
        <v>7</v>
      </c>
      <c r="I620" s="3">
        <f t="shared" ca="1" si="1"/>
        <v>0.14006772912785448</v>
      </c>
      <c r="J620" s="4">
        <f ca="1">(Table3[[#This Row],[Price of One Product]]*Table3[[#This Row],[No of Products in one Sale]])-Table3[[#This Row],[Discount]]</f>
        <v>419.85993227087215</v>
      </c>
    </row>
    <row r="621" spans="1:10" x14ac:dyDescent="0.3">
      <c r="A621" t="s">
        <v>644</v>
      </c>
      <c r="B621" t="s">
        <v>51</v>
      </c>
      <c r="C621" s="1">
        <v>44766</v>
      </c>
      <c r="D621" t="s">
        <v>59</v>
      </c>
      <c r="E621" t="s">
        <v>66</v>
      </c>
      <c r="F621">
        <v>72</v>
      </c>
      <c r="G621" t="s">
        <v>1</v>
      </c>
      <c r="H621" s="2">
        <v>7</v>
      </c>
      <c r="I621" s="3">
        <f t="shared" ca="1" si="1"/>
        <v>0.63566686970981123</v>
      </c>
      <c r="J621" s="4">
        <f ca="1">(Table3[[#This Row],[Price of One Product]]*Table3[[#This Row],[No of Products in one Sale]])-Table3[[#This Row],[Discount]]</f>
        <v>503.36433313029016</v>
      </c>
    </row>
    <row r="622" spans="1:10" x14ac:dyDescent="0.3">
      <c r="A622" t="s">
        <v>645</v>
      </c>
      <c r="B622" t="s">
        <v>52</v>
      </c>
      <c r="C622" s="1">
        <v>44793</v>
      </c>
      <c r="D622" t="s">
        <v>60</v>
      </c>
      <c r="E622" t="s">
        <v>66</v>
      </c>
      <c r="F622">
        <v>65</v>
      </c>
      <c r="G622" t="s">
        <v>2</v>
      </c>
      <c r="H622" s="2">
        <v>11</v>
      </c>
      <c r="I622" s="3">
        <f t="shared" ca="1" si="1"/>
        <v>0.53219362319583396</v>
      </c>
      <c r="J622" s="4">
        <f ca="1">(Table3[[#This Row],[Price of One Product]]*Table3[[#This Row],[No of Products in one Sale]])-Table3[[#This Row],[Discount]]</f>
        <v>714.46780637680422</v>
      </c>
    </row>
    <row r="623" spans="1:10" x14ac:dyDescent="0.3">
      <c r="A623" t="s">
        <v>646</v>
      </c>
      <c r="B623" t="s">
        <v>53</v>
      </c>
      <c r="C623" s="1">
        <v>44769</v>
      </c>
      <c r="D623" t="s">
        <v>61</v>
      </c>
      <c r="E623" t="s">
        <v>67</v>
      </c>
      <c r="F623">
        <v>250</v>
      </c>
      <c r="G623" t="s">
        <v>0</v>
      </c>
      <c r="H623" s="2">
        <v>1</v>
      </c>
      <c r="I623" s="3">
        <f t="shared" ca="1" si="1"/>
        <v>0.31006038824711379</v>
      </c>
      <c r="J623" s="4">
        <f ca="1">(Table3[[#This Row],[Price of One Product]]*Table3[[#This Row],[No of Products in one Sale]])-Table3[[#This Row],[Discount]]</f>
        <v>249.68993961175289</v>
      </c>
    </row>
    <row r="624" spans="1:10" x14ac:dyDescent="0.3">
      <c r="A624" t="s">
        <v>647</v>
      </c>
      <c r="B624" t="s">
        <v>54</v>
      </c>
      <c r="C624" s="1">
        <v>44758</v>
      </c>
      <c r="D624" t="s">
        <v>62</v>
      </c>
      <c r="E624" t="s">
        <v>66</v>
      </c>
      <c r="F624">
        <v>130</v>
      </c>
      <c r="G624" t="s">
        <v>1</v>
      </c>
      <c r="H624" s="2">
        <v>5</v>
      </c>
      <c r="I624" s="3">
        <f t="shared" ca="1" si="1"/>
        <v>0.94135364523632314</v>
      </c>
      <c r="J624" s="4">
        <f ca="1">(Table3[[#This Row],[Price of One Product]]*Table3[[#This Row],[No of Products in one Sale]])-Table3[[#This Row],[Discount]]</f>
        <v>649.05864635476371</v>
      </c>
    </row>
    <row r="625" spans="1:10" x14ac:dyDescent="0.3">
      <c r="A625" t="s">
        <v>648</v>
      </c>
      <c r="B625" t="s">
        <v>51</v>
      </c>
      <c r="C625" s="1">
        <v>44803</v>
      </c>
      <c r="D625" t="s">
        <v>59</v>
      </c>
      <c r="E625" t="s">
        <v>66</v>
      </c>
      <c r="F625">
        <v>72</v>
      </c>
      <c r="G625" t="s">
        <v>2</v>
      </c>
      <c r="H625" s="2">
        <v>11</v>
      </c>
      <c r="I625" s="3">
        <f t="shared" ca="1" si="1"/>
        <v>0.95497956099014203</v>
      </c>
      <c r="J625" s="4">
        <f ca="1">(Table3[[#This Row],[Price of One Product]]*Table3[[#This Row],[No of Products in one Sale]])-Table3[[#This Row],[Discount]]</f>
        <v>791.04502043900982</v>
      </c>
    </row>
    <row r="626" spans="1:10" x14ac:dyDescent="0.3">
      <c r="A626" t="s">
        <v>649</v>
      </c>
      <c r="B626" t="s">
        <v>52</v>
      </c>
      <c r="C626" s="1">
        <v>44808</v>
      </c>
      <c r="D626" t="s">
        <v>60</v>
      </c>
      <c r="E626" t="s">
        <v>66</v>
      </c>
      <c r="F626">
        <v>65</v>
      </c>
      <c r="G626" t="s">
        <v>0</v>
      </c>
      <c r="H626" s="2">
        <v>7</v>
      </c>
      <c r="I626" s="3">
        <f t="shared" ca="1" si="1"/>
        <v>0.91862958454507981</v>
      </c>
      <c r="J626" s="4">
        <f ca="1">(Table3[[#This Row],[Price of One Product]]*Table3[[#This Row],[No of Products in one Sale]])-Table3[[#This Row],[Discount]]</f>
        <v>454.0813704154549</v>
      </c>
    </row>
    <row r="627" spans="1:10" x14ac:dyDescent="0.3">
      <c r="A627" t="s">
        <v>650</v>
      </c>
      <c r="B627" t="s">
        <v>53</v>
      </c>
      <c r="C627" s="1">
        <v>44784</v>
      </c>
      <c r="D627" t="s">
        <v>61</v>
      </c>
      <c r="E627" t="s">
        <v>66</v>
      </c>
      <c r="F627">
        <v>250</v>
      </c>
      <c r="G627" t="s">
        <v>1</v>
      </c>
      <c r="H627" s="2">
        <v>2</v>
      </c>
      <c r="I627" s="3">
        <f t="shared" ca="1" si="1"/>
        <v>0.74576229001233652</v>
      </c>
      <c r="J627" s="4">
        <f ca="1">(Table3[[#This Row],[Price of One Product]]*Table3[[#This Row],[No of Products in one Sale]])-Table3[[#This Row],[Discount]]</f>
        <v>499.25423770998765</v>
      </c>
    </row>
    <row r="628" spans="1:10" x14ac:dyDescent="0.3">
      <c r="A628" t="s">
        <v>651</v>
      </c>
      <c r="B628" t="s">
        <v>54</v>
      </c>
      <c r="C628" s="1">
        <v>44764</v>
      </c>
      <c r="D628" t="s">
        <v>62</v>
      </c>
      <c r="E628" t="s">
        <v>66</v>
      </c>
      <c r="F628">
        <v>130</v>
      </c>
      <c r="G628" t="s">
        <v>2</v>
      </c>
      <c r="H628" s="2">
        <v>3</v>
      </c>
      <c r="I628" s="3">
        <f t="shared" ca="1" si="1"/>
        <v>0.90150250718866431</v>
      </c>
      <c r="J628" s="4">
        <f ca="1">(Table3[[#This Row],[Price of One Product]]*Table3[[#This Row],[No of Products in one Sale]])-Table3[[#This Row],[Discount]]</f>
        <v>389.09849749281136</v>
      </c>
    </row>
    <row r="629" spans="1:10" x14ac:dyDescent="0.3">
      <c r="A629" t="s">
        <v>652</v>
      </c>
      <c r="B629" t="s">
        <v>55</v>
      </c>
      <c r="C629" s="1">
        <v>44795</v>
      </c>
      <c r="D629" t="s">
        <v>63</v>
      </c>
      <c r="E629" t="s">
        <v>67</v>
      </c>
      <c r="F629">
        <v>60</v>
      </c>
      <c r="G629" t="s">
        <v>0</v>
      </c>
      <c r="H629" s="2">
        <v>4</v>
      </c>
      <c r="I629" s="3">
        <f t="shared" ca="1" si="1"/>
        <v>0.41350933638571874</v>
      </c>
      <c r="J629" s="4">
        <f ca="1">(Table3[[#This Row],[Price of One Product]]*Table3[[#This Row],[No of Products in one Sale]])-Table3[[#This Row],[Discount]]</f>
        <v>239.58649066361428</v>
      </c>
    </row>
    <row r="630" spans="1:10" x14ac:dyDescent="0.3">
      <c r="A630" t="s">
        <v>653</v>
      </c>
      <c r="B630" t="s">
        <v>56</v>
      </c>
      <c r="C630" s="1">
        <v>44799</v>
      </c>
      <c r="D630" t="s">
        <v>64</v>
      </c>
      <c r="E630" t="s">
        <v>66</v>
      </c>
      <c r="F630">
        <v>95</v>
      </c>
      <c r="G630" t="s">
        <v>1</v>
      </c>
      <c r="H630" s="2">
        <v>4</v>
      </c>
      <c r="I630" s="3">
        <f t="shared" ref="I630:I693" ca="1" si="2">RAND()</f>
        <v>0.66422725652959047</v>
      </c>
      <c r="J630" s="4">
        <f ca="1">(Table3[[#This Row],[Price of One Product]]*Table3[[#This Row],[No of Products in one Sale]])-Table3[[#This Row],[Discount]]</f>
        <v>379.33577274347039</v>
      </c>
    </row>
    <row r="631" spans="1:10" x14ac:dyDescent="0.3">
      <c r="A631" t="s">
        <v>654</v>
      </c>
      <c r="B631" t="s">
        <v>51</v>
      </c>
      <c r="C631" s="1">
        <v>44800</v>
      </c>
      <c r="D631" t="s">
        <v>59</v>
      </c>
      <c r="E631" t="s">
        <v>66</v>
      </c>
      <c r="F631">
        <v>72</v>
      </c>
      <c r="G631" t="s">
        <v>2</v>
      </c>
      <c r="H631" s="2">
        <v>8</v>
      </c>
      <c r="I631" s="3">
        <f t="shared" ca="1" si="2"/>
        <v>0.34474502866606804</v>
      </c>
      <c r="J631" s="4">
        <f ca="1">(Table3[[#This Row],[Price of One Product]]*Table3[[#This Row],[No of Products in one Sale]])-Table3[[#This Row],[Discount]]</f>
        <v>575.65525497133399</v>
      </c>
    </row>
    <row r="632" spans="1:10" x14ac:dyDescent="0.3">
      <c r="A632" t="s">
        <v>655</v>
      </c>
      <c r="B632" t="s">
        <v>52</v>
      </c>
      <c r="C632" s="1">
        <v>44771</v>
      </c>
      <c r="D632" t="s">
        <v>60</v>
      </c>
      <c r="E632" t="s">
        <v>66</v>
      </c>
      <c r="F632">
        <v>65</v>
      </c>
      <c r="G632" t="s">
        <v>0</v>
      </c>
      <c r="H632" s="2">
        <v>12</v>
      </c>
      <c r="I632" s="3">
        <f t="shared" ca="1" si="2"/>
        <v>0.80868226648602637</v>
      </c>
      <c r="J632" s="4">
        <f ca="1">(Table3[[#This Row],[Price of One Product]]*Table3[[#This Row],[No of Products in one Sale]])-Table3[[#This Row],[Discount]]</f>
        <v>779.19131773351398</v>
      </c>
    </row>
    <row r="633" spans="1:10" x14ac:dyDescent="0.3">
      <c r="A633" t="s">
        <v>656</v>
      </c>
      <c r="B633" t="s">
        <v>53</v>
      </c>
      <c r="C633" s="1">
        <v>44760</v>
      </c>
      <c r="D633" t="s">
        <v>61</v>
      </c>
      <c r="E633" t="s">
        <v>67</v>
      </c>
      <c r="F633">
        <v>250</v>
      </c>
      <c r="G633" t="s">
        <v>1</v>
      </c>
      <c r="H633" s="2">
        <v>3</v>
      </c>
      <c r="I633" s="3">
        <f t="shared" ca="1" si="2"/>
        <v>0.32255043304835107</v>
      </c>
      <c r="J633" s="4">
        <f ca="1">(Table3[[#This Row],[Price of One Product]]*Table3[[#This Row],[No of Products in one Sale]])-Table3[[#This Row],[Discount]]</f>
        <v>749.67744956695162</v>
      </c>
    </row>
    <row r="634" spans="1:10" x14ac:dyDescent="0.3">
      <c r="A634" t="s">
        <v>657</v>
      </c>
      <c r="B634" t="s">
        <v>54</v>
      </c>
      <c r="C634" s="1">
        <v>44778</v>
      </c>
      <c r="D634" t="s">
        <v>62</v>
      </c>
      <c r="E634" t="s">
        <v>67</v>
      </c>
      <c r="F634">
        <v>130</v>
      </c>
      <c r="G634" t="s">
        <v>2</v>
      </c>
      <c r="H634" s="2">
        <v>2</v>
      </c>
      <c r="I634" s="3">
        <f t="shared" ca="1" si="2"/>
        <v>0.89555522110892383</v>
      </c>
      <c r="J634" s="4">
        <f ca="1">(Table3[[#This Row],[Price of One Product]]*Table3[[#This Row],[No of Products in one Sale]])-Table3[[#This Row],[Discount]]</f>
        <v>259.10444477889109</v>
      </c>
    </row>
    <row r="635" spans="1:10" x14ac:dyDescent="0.3">
      <c r="A635" t="s">
        <v>658</v>
      </c>
      <c r="B635" t="s">
        <v>51</v>
      </c>
      <c r="C635" s="1">
        <v>44755</v>
      </c>
      <c r="D635" t="s">
        <v>59</v>
      </c>
      <c r="E635" t="s">
        <v>67</v>
      </c>
      <c r="F635">
        <v>72</v>
      </c>
      <c r="G635" t="s">
        <v>0</v>
      </c>
      <c r="H635" s="2">
        <v>10</v>
      </c>
      <c r="I635" s="3">
        <f t="shared" ca="1" si="2"/>
        <v>0.60821783705199794</v>
      </c>
      <c r="J635" s="4">
        <f ca="1">(Table3[[#This Row],[Price of One Product]]*Table3[[#This Row],[No of Products in one Sale]])-Table3[[#This Row],[Discount]]</f>
        <v>719.39178216294795</v>
      </c>
    </row>
    <row r="636" spans="1:10" x14ac:dyDescent="0.3">
      <c r="A636" t="s">
        <v>659</v>
      </c>
      <c r="B636" t="s">
        <v>52</v>
      </c>
      <c r="C636" s="1">
        <v>44770</v>
      </c>
      <c r="D636" t="s">
        <v>60</v>
      </c>
      <c r="E636" t="s">
        <v>67</v>
      </c>
      <c r="F636">
        <v>65</v>
      </c>
      <c r="G636" t="s">
        <v>1</v>
      </c>
      <c r="H636" s="2">
        <v>9</v>
      </c>
      <c r="I636" s="3">
        <f t="shared" ca="1" si="2"/>
        <v>6.3426031762187085E-3</v>
      </c>
      <c r="J636" s="4">
        <f ca="1">(Table3[[#This Row],[Price of One Product]]*Table3[[#This Row],[No of Products in one Sale]])-Table3[[#This Row],[Discount]]</f>
        <v>584.99365739682378</v>
      </c>
    </row>
    <row r="637" spans="1:10" x14ac:dyDescent="0.3">
      <c r="A637" t="s">
        <v>660</v>
      </c>
      <c r="B637" t="s">
        <v>53</v>
      </c>
      <c r="C637" s="1">
        <v>44772</v>
      </c>
      <c r="D637" t="s">
        <v>61</v>
      </c>
      <c r="E637" t="s">
        <v>67</v>
      </c>
      <c r="F637">
        <v>250</v>
      </c>
      <c r="G637" t="s">
        <v>2</v>
      </c>
      <c r="H637" s="2">
        <v>2</v>
      </c>
      <c r="I637" s="3">
        <f t="shared" ca="1" si="2"/>
        <v>0.52228948048559609</v>
      </c>
      <c r="J637" s="4">
        <f ca="1">(Table3[[#This Row],[Price of One Product]]*Table3[[#This Row],[No of Products in one Sale]])-Table3[[#This Row],[Discount]]</f>
        <v>499.4777105195144</v>
      </c>
    </row>
    <row r="638" spans="1:10" x14ac:dyDescent="0.3">
      <c r="A638" t="s">
        <v>661</v>
      </c>
      <c r="B638" t="s">
        <v>54</v>
      </c>
      <c r="C638" s="1">
        <v>44799</v>
      </c>
      <c r="D638" t="s">
        <v>62</v>
      </c>
      <c r="E638" t="s">
        <v>67</v>
      </c>
      <c r="F638">
        <v>130</v>
      </c>
      <c r="G638" t="s">
        <v>0</v>
      </c>
      <c r="H638" s="2">
        <v>3</v>
      </c>
      <c r="I638" s="3">
        <f t="shared" ca="1" si="2"/>
        <v>6.0271419914482816E-2</v>
      </c>
      <c r="J638" s="4">
        <f ca="1">(Table3[[#This Row],[Price of One Product]]*Table3[[#This Row],[No of Products in one Sale]])-Table3[[#This Row],[Discount]]</f>
        <v>389.9397285800855</v>
      </c>
    </row>
    <row r="639" spans="1:10" x14ac:dyDescent="0.3">
      <c r="A639" t="s">
        <v>662</v>
      </c>
      <c r="B639" t="s">
        <v>51</v>
      </c>
      <c r="C639" s="1">
        <v>44782</v>
      </c>
      <c r="D639" t="s">
        <v>59</v>
      </c>
      <c r="E639" t="s">
        <v>66</v>
      </c>
      <c r="F639">
        <v>72</v>
      </c>
      <c r="G639" t="s">
        <v>0</v>
      </c>
      <c r="H639" s="2">
        <v>9</v>
      </c>
      <c r="I639" s="3">
        <f t="shared" ca="1" si="2"/>
        <v>0.45585937542515742</v>
      </c>
      <c r="J639" s="4">
        <f ca="1">(Table3[[#This Row],[Price of One Product]]*Table3[[#This Row],[No of Products in one Sale]])-Table3[[#This Row],[Discount]]</f>
        <v>647.54414062457488</v>
      </c>
    </row>
    <row r="640" spans="1:10" x14ac:dyDescent="0.3">
      <c r="A640" t="s">
        <v>663</v>
      </c>
      <c r="B640" t="s">
        <v>52</v>
      </c>
      <c r="C640" s="1">
        <v>44761</v>
      </c>
      <c r="D640" t="s">
        <v>60</v>
      </c>
      <c r="E640" t="s">
        <v>67</v>
      </c>
      <c r="F640">
        <v>65</v>
      </c>
      <c r="G640" t="s">
        <v>1</v>
      </c>
      <c r="H640" s="2">
        <v>6</v>
      </c>
      <c r="I640" s="3">
        <f t="shared" ca="1" si="2"/>
        <v>0.29242988895449062</v>
      </c>
      <c r="J640" s="4">
        <f ca="1">(Table3[[#This Row],[Price of One Product]]*Table3[[#This Row],[No of Products in one Sale]])-Table3[[#This Row],[Discount]]</f>
        <v>389.70757011104553</v>
      </c>
    </row>
    <row r="641" spans="1:10" x14ac:dyDescent="0.3">
      <c r="A641" t="s">
        <v>664</v>
      </c>
      <c r="B641" t="s">
        <v>53</v>
      </c>
      <c r="C641" s="1">
        <v>44794</v>
      </c>
      <c r="D641" t="s">
        <v>61</v>
      </c>
      <c r="E641" t="s">
        <v>66</v>
      </c>
      <c r="F641">
        <v>250</v>
      </c>
      <c r="G641" t="s">
        <v>2</v>
      </c>
      <c r="H641" s="2">
        <v>3</v>
      </c>
      <c r="I641" s="3">
        <f t="shared" ca="1" si="2"/>
        <v>0.58692517782951648</v>
      </c>
      <c r="J641" s="4">
        <f ca="1">(Table3[[#This Row],[Price of One Product]]*Table3[[#This Row],[No of Products in one Sale]])-Table3[[#This Row],[Discount]]</f>
        <v>749.41307482217053</v>
      </c>
    </row>
    <row r="642" spans="1:10" x14ac:dyDescent="0.3">
      <c r="A642" t="s">
        <v>665</v>
      </c>
      <c r="B642" t="s">
        <v>54</v>
      </c>
      <c r="C642" s="1">
        <v>44762</v>
      </c>
      <c r="D642" t="s">
        <v>62</v>
      </c>
      <c r="E642" t="s">
        <v>67</v>
      </c>
      <c r="F642">
        <v>130</v>
      </c>
      <c r="G642" t="s">
        <v>0</v>
      </c>
      <c r="H642" s="2">
        <v>3</v>
      </c>
      <c r="I642" s="3">
        <f t="shared" ca="1" si="2"/>
        <v>0.21932421868326812</v>
      </c>
      <c r="J642" s="4">
        <f ca="1">(Table3[[#This Row],[Price of One Product]]*Table3[[#This Row],[No of Products in one Sale]])-Table3[[#This Row],[Discount]]</f>
        <v>389.78067578131675</v>
      </c>
    </row>
    <row r="643" spans="1:10" x14ac:dyDescent="0.3">
      <c r="A643" t="s">
        <v>666</v>
      </c>
      <c r="B643" t="s">
        <v>51</v>
      </c>
      <c r="C643" s="1">
        <v>44769</v>
      </c>
      <c r="D643" t="s">
        <v>59</v>
      </c>
      <c r="E643" t="s">
        <v>66</v>
      </c>
      <c r="F643">
        <v>72</v>
      </c>
      <c r="G643" t="s">
        <v>1</v>
      </c>
      <c r="H643" s="2">
        <v>11</v>
      </c>
      <c r="I643" s="3">
        <f t="shared" ca="1" si="2"/>
        <v>1.5653968424330755E-2</v>
      </c>
      <c r="J643" s="4">
        <f ca="1">(Table3[[#This Row],[Price of One Product]]*Table3[[#This Row],[No of Products in one Sale]])-Table3[[#This Row],[Discount]]</f>
        <v>791.98434603157568</v>
      </c>
    </row>
    <row r="644" spans="1:10" x14ac:dyDescent="0.3">
      <c r="A644" t="s">
        <v>667</v>
      </c>
      <c r="B644" t="s">
        <v>52</v>
      </c>
      <c r="C644" s="1">
        <v>44770</v>
      </c>
      <c r="D644" t="s">
        <v>60</v>
      </c>
      <c r="E644" t="s">
        <v>67</v>
      </c>
      <c r="F644">
        <v>65</v>
      </c>
      <c r="G644" t="s">
        <v>2</v>
      </c>
      <c r="H644" s="2">
        <v>13</v>
      </c>
      <c r="I644" s="3">
        <f t="shared" ca="1" si="2"/>
        <v>0.84220268256560393</v>
      </c>
      <c r="J644" s="4">
        <f ca="1">(Table3[[#This Row],[Price of One Product]]*Table3[[#This Row],[No of Products in one Sale]])-Table3[[#This Row],[Discount]]</f>
        <v>844.15779731743442</v>
      </c>
    </row>
    <row r="645" spans="1:10" x14ac:dyDescent="0.3">
      <c r="A645" t="s">
        <v>668</v>
      </c>
      <c r="B645" t="s">
        <v>53</v>
      </c>
      <c r="C645" s="1">
        <v>44797</v>
      </c>
      <c r="D645" t="s">
        <v>61</v>
      </c>
      <c r="E645" t="s">
        <v>66</v>
      </c>
      <c r="F645">
        <v>250</v>
      </c>
      <c r="G645" t="s">
        <v>0</v>
      </c>
      <c r="H645" s="2">
        <v>3</v>
      </c>
      <c r="I645" s="3">
        <f t="shared" ca="1" si="2"/>
        <v>0.8566377422722965</v>
      </c>
      <c r="J645" s="4">
        <f ca="1">(Table3[[#This Row],[Price of One Product]]*Table3[[#This Row],[No of Products in one Sale]])-Table3[[#This Row],[Discount]]</f>
        <v>749.14336225772774</v>
      </c>
    </row>
    <row r="646" spans="1:10" x14ac:dyDescent="0.3">
      <c r="A646" t="s">
        <v>669</v>
      </c>
      <c r="B646" t="s">
        <v>54</v>
      </c>
      <c r="C646" s="1">
        <v>44783</v>
      </c>
      <c r="D646" t="s">
        <v>62</v>
      </c>
      <c r="E646" t="s">
        <v>67</v>
      </c>
      <c r="F646">
        <v>130</v>
      </c>
      <c r="G646" t="s">
        <v>1</v>
      </c>
      <c r="H646" s="2">
        <v>3</v>
      </c>
      <c r="I646" s="3">
        <f t="shared" ca="1" si="2"/>
        <v>6.464541834891846E-2</v>
      </c>
      <c r="J646" s="4">
        <f ca="1">(Table3[[#This Row],[Price of One Product]]*Table3[[#This Row],[No of Products in one Sale]])-Table3[[#This Row],[Discount]]</f>
        <v>389.9353545816511</v>
      </c>
    </row>
    <row r="647" spans="1:10" x14ac:dyDescent="0.3">
      <c r="A647" t="s">
        <v>670</v>
      </c>
      <c r="B647" t="s">
        <v>55</v>
      </c>
      <c r="C647" s="1">
        <v>44801</v>
      </c>
      <c r="D647" t="s">
        <v>63</v>
      </c>
      <c r="E647" t="s">
        <v>66</v>
      </c>
      <c r="F647">
        <v>60</v>
      </c>
      <c r="G647" t="s">
        <v>2</v>
      </c>
      <c r="H647" s="2">
        <v>6</v>
      </c>
      <c r="I647" s="3">
        <f t="shared" ca="1" si="2"/>
        <v>0.18130680244164599</v>
      </c>
      <c r="J647" s="4">
        <f ca="1">(Table3[[#This Row],[Price of One Product]]*Table3[[#This Row],[No of Products in one Sale]])-Table3[[#This Row],[Discount]]</f>
        <v>359.81869319755833</v>
      </c>
    </row>
    <row r="648" spans="1:10" x14ac:dyDescent="0.3">
      <c r="A648" t="s">
        <v>671</v>
      </c>
      <c r="B648" t="s">
        <v>51</v>
      </c>
      <c r="C648" s="1">
        <v>44808</v>
      </c>
      <c r="D648" t="s">
        <v>59</v>
      </c>
      <c r="E648" t="s">
        <v>67</v>
      </c>
      <c r="F648">
        <v>72</v>
      </c>
      <c r="G648" t="s">
        <v>0</v>
      </c>
      <c r="H648" s="2">
        <v>6</v>
      </c>
      <c r="I648" s="3">
        <f t="shared" ca="1" si="2"/>
        <v>0.2401101906245231</v>
      </c>
      <c r="J648" s="4">
        <f ca="1">(Table3[[#This Row],[Price of One Product]]*Table3[[#This Row],[No of Products in one Sale]])-Table3[[#This Row],[Discount]]</f>
        <v>431.75988980937547</v>
      </c>
    </row>
    <row r="649" spans="1:10" x14ac:dyDescent="0.3">
      <c r="A649" t="s">
        <v>672</v>
      </c>
      <c r="B649" t="s">
        <v>52</v>
      </c>
      <c r="C649" s="1">
        <v>44808</v>
      </c>
      <c r="D649" t="s">
        <v>60</v>
      </c>
      <c r="E649" t="s">
        <v>66</v>
      </c>
      <c r="F649">
        <v>65</v>
      </c>
      <c r="G649" t="s">
        <v>1</v>
      </c>
      <c r="H649" s="2">
        <v>5</v>
      </c>
      <c r="I649" s="3">
        <f t="shared" ca="1" si="2"/>
        <v>0.51032483154488673</v>
      </c>
      <c r="J649" s="4">
        <f ca="1">(Table3[[#This Row],[Price of One Product]]*Table3[[#This Row],[No of Products in one Sale]])-Table3[[#This Row],[Discount]]</f>
        <v>324.48967516845511</v>
      </c>
    </row>
    <row r="650" spans="1:10" x14ac:dyDescent="0.3">
      <c r="A650" t="s">
        <v>673</v>
      </c>
      <c r="B650" t="s">
        <v>53</v>
      </c>
      <c r="C650" s="1">
        <v>44781</v>
      </c>
      <c r="D650" t="s">
        <v>61</v>
      </c>
      <c r="E650" t="s">
        <v>67</v>
      </c>
      <c r="F650">
        <v>250</v>
      </c>
      <c r="G650" t="s">
        <v>2</v>
      </c>
      <c r="H650" s="2">
        <v>3</v>
      </c>
      <c r="I650" s="3">
        <f t="shared" ca="1" si="2"/>
        <v>0.15926183493235269</v>
      </c>
      <c r="J650" s="4">
        <f ca="1">(Table3[[#This Row],[Price of One Product]]*Table3[[#This Row],[No of Products in one Sale]])-Table3[[#This Row],[Discount]]</f>
        <v>749.84073816506759</v>
      </c>
    </row>
    <row r="651" spans="1:10" x14ac:dyDescent="0.3">
      <c r="A651" t="s">
        <v>674</v>
      </c>
      <c r="B651" t="s">
        <v>54</v>
      </c>
      <c r="C651" s="1">
        <v>44783</v>
      </c>
      <c r="D651" t="s">
        <v>62</v>
      </c>
      <c r="E651" t="s">
        <v>66</v>
      </c>
      <c r="F651">
        <v>130</v>
      </c>
      <c r="G651" t="s">
        <v>0</v>
      </c>
      <c r="H651" s="2">
        <v>6</v>
      </c>
      <c r="I651" s="3">
        <f t="shared" ca="1" si="2"/>
        <v>0.2248846405785071</v>
      </c>
      <c r="J651" s="4">
        <f ca="1">(Table3[[#This Row],[Price of One Product]]*Table3[[#This Row],[No of Products in one Sale]])-Table3[[#This Row],[Discount]]</f>
        <v>779.77511535942153</v>
      </c>
    </row>
    <row r="652" spans="1:10" x14ac:dyDescent="0.3">
      <c r="A652" t="s">
        <v>675</v>
      </c>
      <c r="B652" t="s">
        <v>51</v>
      </c>
      <c r="C652" s="1">
        <v>44762</v>
      </c>
      <c r="D652" t="s">
        <v>59</v>
      </c>
      <c r="E652" t="s">
        <v>67</v>
      </c>
      <c r="F652">
        <v>72</v>
      </c>
      <c r="G652" t="s">
        <v>1</v>
      </c>
      <c r="H652" s="2">
        <v>5</v>
      </c>
      <c r="I652" s="3">
        <f t="shared" ca="1" si="2"/>
        <v>0.76588903763044425</v>
      </c>
      <c r="J652" s="4">
        <f ca="1">(Table3[[#This Row],[Price of One Product]]*Table3[[#This Row],[No of Products in one Sale]])-Table3[[#This Row],[Discount]]</f>
        <v>359.23411096236953</v>
      </c>
    </row>
    <row r="653" spans="1:10" x14ac:dyDescent="0.3">
      <c r="A653" t="s">
        <v>676</v>
      </c>
      <c r="B653" t="s">
        <v>52</v>
      </c>
      <c r="C653" s="1">
        <v>44800</v>
      </c>
      <c r="D653" t="s">
        <v>60</v>
      </c>
      <c r="E653" t="s">
        <v>66</v>
      </c>
      <c r="F653">
        <v>65</v>
      </c>
      <c r="G653" t="s">
        <v>2</v>
      </c>
      <c r="H653" s="2">
        <v>10</v>
      </c>
      <c r="I653" s="3">
        <f t="shared" ca="1" si="2"/>
        <v>0.12058930932295231</v>
      </c>
      <c r="J653" s="4">
        <f ca="1">(Table3[[#This Row],[Price of One Product]]*Table3[[#This Row],[No of Products in one Sale]])-Table3[[#This Row],[Discount]]</f>
        <v>649.87941069067699</v>
      </c>
    </row>
    <row r="654" spans="1:10" x14ac:dyDescent="0.3">
      <c r="A654" t="s">
        <v>677</v>
      </c>
      <c r="B654" t="s">
        <v>53</v>
      </c>
      <c r="C654" s="1">
        <v>44799</v>
      </c>
      <c r="D654" t="s">
        <v>61</v>
      </c>
      <c r="E654" t="s">
        <v>67</v>
      </c>
      <c r="F654">
        <v>250</v>
      </c>
      <c r="G654" t="s">
        <v>0</v>
      </c>
      <c r="H654" s="2">
        <v>2</v>
      </c>
      <c r="I654" s="3">
        <f t="shared" ca="1" si="2"/>
        <v>0.24165385582965904</v>
      </c>
      <c r="J654" s="4">
        <f ca="1">(Table3[[#This Row],[Price of One Product]]*Table3[[#This Row],[No of Products in one Sale]])-Table3[[#This Row],[Discount]]</f>
        <v>499.75834614417033</v>
      </c>
    </row>
    <row r="655" spans="1:10" x14ac:dyDescent="0.3">
      <c r="A655" t="s">
        <v>678</v>
      </c>
      <c r="B655" t="s">
        <v>54</v>
      </c>
      <c r="C655" s="1">
        <v>44777</v>
      </c>
      <c r="D655" t="s">
        <v>62</v>
      </c>
      <c r="E655" t="s">
        <v>66</v>
      </c>
      <c r="F655">
        <v>130</v>
      </c>
      <c r="G655" t="s">
        <v>1</v>
      </c>
      <c r="H655" s="2">
        <v>2</v>
      </c>
      <c r="I655" s="3">
        <f t="shared" ca="1" si="2"/>
        <v>0.85853451211229403</v>
      </c>
      <c r="J655" s="4">
        <f ca="1">(Table3[[#This Row],[Price of One Product]]*Table3[[#This Row],[No of Products in one Sale]])-Table3[[#This Row],[Discount]]</f>
        <v>259.14146548788773</v>
      </c>
    </row>
    <row r="656" spans="1:10" x14ac:dyDescent="0.3">
      <c r="A656" t="s">
        <v>679</v>
      </c>
      <c r="B656" t="s">
        <v>55</v>
      </c>
      <c r="C656" s="1">
        <v>44800</v>
      </c>
      <c r="D656" t="s">
        <v>63</v>
      </c>
      <c r="E656" t="s">
        <v>66</v>
      </c>
      <c r="F656">
        <v>60</v>
      </c>
      <c r="G656" t="s">
        <v>2</v>
      </c>
      <c r="H656" s="2">
        <v>10</v>
      </c>
      <c r="I656" s="3">
        <f t="shared" ca="1" si="2"/>
        <v>0.39217489018699148</v>
      </c>
      <c r="J656" s="4">
        <f ca="1">(Table3[[#This Row],[Price of One Product]]*Table3[[#This Row],[No of Products in one Sale]])-Table3[[#This Row],[Discount]]</f>
        <v>599.60782510981301</v>
      </c>
    </row>
    <row r="657" spans="1:10" x14ac:dyDescent="0.3">
      <c r="A657" t="s">
        <v>680</v>
      </c>
      <c r="B657" t="s">
        <v>56</v>
      </c>
      <c r="C657" s="1">
        <v>44770</v>
      </c>
      <c r="D657" t="s">
        <v>64</v>
      </c>
      <c r="E657" t="s">
        <v>67</v>
      </c>
      <c r="F657">
        <v>95</v>
      </c>
      <c r="G657" t="s">
        <v>0</v>
      </c>
      <c r="H657" s="2">
        <v>3</v>
      </c>
      <c r="I657" s="3">
        <f t="shared" ca="1" si="2"/>
        <v>0.46443332175651475</v>
      </c>
      <c r="J657" s="4">
        <f ca="1">(Table3[[#This Row],[Price of One Product]]*Table3[[#This Row],[No of Products in one Sale]])-Table3[[#This Row],[Discount]]</f>
        <v>284.53556667824347</v>
      </c>
    </row>
    <row r="658" spans="1:10" x14ac:dyDescent="0.3">
      <c r="A658" t="s">
        <v>681</v>
      </c>
      <c r="B658" t="s">
        <v>51</v>
      </c>
      <c r="C658" s="1">
        <v>44774</v>
      </c>
      <c r="D658" t="s">
        <v>59</v>
      </c>
      <c r="E658" t="s">
        <v>67</v>
      </c>
      <c r="F658">
        <v>72</v>
      </c>
      <c r="G658" t="s">
        <v>1</v>
      </c>
      <c r="H658" s="2">
        <v>6</v>
      </c>
      <c r="I658" s="3">
        <f t="shared" ca="1" si="2"/>
        <v>0.89400653534396801</v>
      </c>
      <c r="J658" s="4">
        <f ca="1">(Table3[[#This Row],[Price of One Product]]*Table3[[#This Row],[No of Products in one Sale]])-Table3[[#This Row],[Discount]]</f>
        <v>431.10599346465602</v>
      </c>
    </row>
    <row r="659" spans="1:10" x14ac:dyDescent="0.3">
      <c r="A659" t="s">
        <v>682</v>
      </c>
      <c r="B659" t="s">
        <v>52</v>
      </c>
      <c r="C659" s="1">
        <v>44779</v>
      </c>
      <c r="D659" t="s">
        <v>60</v>
      </c>
      <c r="E659" t="s">
        <v>67</v>
      </c>
      <c r="F659">
        <v>65</v>
      </c>
      <c r="G659" t="s">
        <v>2</v>
      </c>
      <c r="H659" s="2">
        <v>8</v>
      </c>
      <c r="I659" s="3">
        <f t="shared" ca="1" si="2"/>
        <v>0.53541669165467076</v>
      </c>
      <c r="J659" s="4">
        <f ca="1">(Table3[[#This Row],[Price of One Product]]*Table3[[#This Row],[No of Products in one Sale]])-Table3[[#This Row],[Discount]]</f>
        <v>519.46458330834537</v>
      </c>
    </row>
    <row r="660" spans="1:10" x14ac:dyDescent="0.3">
      <c r="A660" t="s">
        <v>683</v>
      </c>
      <c r="B660" t="s">
        <v>53</v>
      </c>
      <c r="C660" s="1">
        <v>44796</v>
      </c>
      <c r="D660" t="s">
        <v>61</v>
      </c>
      <c r="E660" t="s">
        <v>66</v>
      </c>
      <c r="F660">
        <v>250</v>
      </c>
      <c r="G660" t="s">
        <v>0</v>
      </c>
      <c r="H660" s="2">
        <v>2</v>
      </c>
      <c r="I660" s="3">
        <f t="shared" ca="1" si="2"/>
        <v>0.12369119027373932</v>
      </c>
      <c r="J660" s="4">
        <f ca="1">(Table3[[#This Row],[Price of One Product]]*Table3[[#This Row],[No of Products in one Sale]])-Table3[[#This Row],[Discount]]</f>
        <v>499.87630880972625</v>
      </c>
    </row>
    <row r="661" spans="1:10" x14ac:dyDescent="0.3">
      <c r="A661" t="s">
        <v>684</v>
      </c>
      <c r="B661" t="s">
        <v>54</v>
      </c>
      <c r="C661" s="1">
        <v>44772</v>
      </c>
      <c r="D661" t="s">
        <v>62</v>
      </c>
      <c r="E661" t="s">
        <v>66</v>
      </c>
      <c r="F661">
        <v>130</v>
      </c>
      <c r="G661" t="s">
        <v>1</v>
      </c>
      <c r="H661" s="2">
        <v>2</v>
      </c>
      <c r="I661" s="3">
        <f t="shared" ca="1" si="2"/>
        <v>0.67169017926624164</v>
      </c>
      <c r="J661" s="4">
        <f ca="1">(Table3[[#This Row],[Price of One Product]]*Table3[[#This Row],[No of Products in one Sale]])-Table3[[#This Row],[Discount]]</f>
        <v>259.32830982073375</v>
      </c>
    </row>
    <row r="662" spans="1:10" x14ac:dyDescent="0.3">
      <c r="A662" t="s">
        <v>685</v>
      </c>
      <c r="B662" t="s">
        <v>51</v>
      </c>
      <c r="C662" s="1">
        <v>44809</v>
      </c>
      <c r="D662" t="s">
        <v>59</v>
      </c>
      <c r="E662" t="s">
        <v>66</v>
      </c>
      <c r="F662">
        <v>72</v>
      </c>
      <c r="G662" t="s">
        <v>2</v>
      </c>
      <c r="H662" s="2">
        <v>9</v>
      </c>
      <c r="I662" s="3">
        <f t="shared" ca="1" si="2"/>
        <v>8.7572153073870007E-2</v>
      </c>
      <c r="J662" s="4">
        <f ca="1">(Table3[[#This Row],[Price of One Product]]*Table3[[#This Row],[No of Products in one Sale]])-Table3[[#This Row],[Discount]]</f>
        <v>647.91242784692611</v>
      </c>
    </row>
    <row r="663" spans="1:10" x14ac:dyDescent="0.3">
      <c r="A663" t="s">
        <v>686</v>
      </c>
      <c r="B663" t="s">
        <v>52</v>
      </c>
      <c r="C663" s="1">
        <v>44757</v>
      </c>
      <c r="D663" t="s">
        <v>60</v>
      </c>
      <c r="E663" t="s">
        <v>66</v>
      </c>
      <c r="F663">
        <v>65</v>
      </c>
      <c r="G663" t="s">
        <v>0</v>
      </c>
      <c r="H663" s="2">
        <v>4</v>
      </c>
      <c r="I663" s="3">
        <f t="shared" ca="1" si="2"/>
        <v>0.31412899830476237</v>
      </c>
      <c r="J663" s="4">
        <f ca="1">(Table3[[#This Row],[Price of One Product]]*Table3[[#This Row],[No of Products in one Sale]])-Table3[[#This Row],[Discount]]</f>
        <v>259.68587100169526</v>
      </c>
    </row>
    <row r="664" spans="1:10" x14ac:dyDescent="0.3">
      <c r="A664" t="s">
        <v>687</v>
      </c>
      <c r="B664" t="s">
        <v>53</v>
      </c>
      <c r="C664" s="1">
        <v>44782</v>
      </c>
      <c r="D664" t="s">
        <v>61</v>
      </c>
      <c r="E664" t="s">
        <v>66</v>
      </c>
      <c r="F664">
        <v>250</v>
      </c>
      <c r="G664" t="s">
        <v>1</v>
      </c>
      <c r="H664" s="2">
        <v>1</v>
      </c>
      <c r="I664" s="3">
        <f t="shared" ca="1" si="2"/>
        <v>0.24819578200048842</v>
      </c>
      <c r="J664" s="4">
        <f ca="1">(Table3[[#This Row],[Price of One Product]]*Table3[[#This Row],[No of Products in one Sale]])-Table3[[#This Row],[Discount]]</f>
        <v>249.75180421799951</v>
      </c>
    </row>
    <row r="665" spans="1:10" x14ac:dyDescent="0.3">
      <c r="A665" t="s">
        <v>688</v>
      </c>
      <c r="B665" t="s">
        <v>54</v>
      </c>
      <c r="C665" s="1">
        <v>44809</v>
      </c>
      <c r="D665" t="s">
        <v>62</v>
      </c>
      <c r="E665" t="s">
        <v>66</v>
      </c>
      <c r="F665">
        <v>130</v>
      </c>
      <c r="G665" t="s">
        <v>2</v>
      </c>
      <c r="H665" s="2">
        <v>5</v>
      </c>
      <c r="I665" s="3">
        <f t="shared" ca="1" si="2"/>
        <v>0.8097003016697637</v>
      </c>
      <c r="J665" s="4">
        <f ca="1">(Table3[[#This Row],[Price of One Product]]*Table3[[#This Row],[No of Products in one Sale]])-Table3[[#This Row],[Discount]]</f>
        <v>649.19029969833025</v>
      </c>
    </row>
    <row r="666" spans="1:10" x14ac:dyDescent="0.3">
      <c r="A666" t="s">
        <v>689</v>
      </c>
      <c r="B666" t="s">
        <v>55</v>
      </c>
      <c r="C666" s="1">
        <v>44795</v>
      </c>
      <c r="D666" t="s">
        <v>63</v>
      </c>
      <c r="E666" t="s">
        <v>66</v>
      </c>
      <c r="F666">
        <v>60</v>
      </c>
      <c r="G666" t="s">
        <v>0</v>
      </c>
      <c r="H666" s="2">
        <v>12</v>
      </c>
      <c r="I666" s="3">
        <f t="shared" ca="1" si="2"/>
        <v>4.2225003704290054E-2</v>
      </c>
      <c r="J666" s="4">
        <f ca="1">(Table3[[#This Row],[Price of One Product]]*Table3[[#This Row],[No of Products in one Sale]])-Table3[[#This Row],[Discount]]</f>
        <v>719.95777499629571</v>
      </c>
    </row>
    <row r="667" spans="1:10" x14ac:dyDescent="0.3">
      <c r="A667" t="s">
        <v>690</v>
      </c>
      <c r="B667" t="s">
        <v>51</v>
      </c>
      <c r="C667" s="1">
        <v>44801</v>
      </c>
      <c r="D667" t="s">
        <v>59</v>
      </c>
      <c r="E667" t="s">
        <v>66</v>
      </c>
      <c r="F667">
        <v>72</v>
      </c>
      <c r="G667" t="s">
        <v>1</v>
      </c>
      <c r="H667" s="2">
        <v>6</v>
      </c>
      <c r="I667" s="3">
        <f t="shared" ca="1" si="2"/>
        <v>0.38722862947494985</v>
      </c>
      <c r="J667" s="4">
        <f ca="1">(Table3[[#This Row],[Price of One Product]]*Table3[[#This Row],[No of Products in one Sale]])-Table3[[#This Row],[Discount]]</f>
        <v>431.61277137052502</v>
      </c>
    </row>
    <row r="668" spans="1:10" x14ac:dyDescent="0.3">
      <c r="A668" t="s">
        <v>691</v>
      </c>
      <c r="B668" t="s">
        <v>52</v>
      </c>
      <c r="C668" s="1">
        <v>44770</v>
      </c>
      <c r="D668" t="s">
        <v>60</v>
      </c>
      <c r="E668" t="s">
        <v>66</v>
      </c>
      <c r="F668">
        <v>65</v>
      </c>
      <c r="G668" t="s">
        <v>2</v>
      </c>
      <c r="H668" s="2">
        <v>6</v>
      </c>
      <c r="I668" s="3">
        <f t="shared" ca="1" si="2"/>
        <v>0.19049488381252255</v>
      </c>
      <c r="J668" s="4">
        <f ca="1">(Table3[[#This Row],[Price of One Product]]*Table3[[#This Row],[No of Products in one Sale]])-Table3[[#This Row],[Discount]]</f>
        <v>389.80950511618749</v>
      </c>
    </row>
    <row r="669" spans="1:10" x14ac:dyDescent="0.3">
      <c r="A669" t="s">
        <v>692</v>
      </c>
      <c r="B669" t="s">
        <v>53</v>
      </c>
      <c r="C669" s="1">
        <v>44764</v>
      </c>
      <c r="D669" t="s">
        <v>61</v>
      </c>
      <c r="E669" t="s">
        <v>67</v>
      </c>
      <c r="F669">
        <v>250</v>
      </c>
      <c r="G669" t="s">
        <v>0</v>
      </c>
      <c r="H669" s="2">
        <v>2</v>
      </c>
      <c r="I669" s="3">
        <f t="shared" ca="1" si="2"/>
        <v>0.45782522970932504</v>
      </c>
      <c r="J669" s="4">
        <f ca="1">(Table3[[#This Row],[Price of One Product]]*Table3[[#This Row],[No of Products in one Sale]])-Table3[[#This Row],[Discount]]</f>
        <v>499.54217477029067</v>
      </c>
    </row>
    <row r="670" spans="1:10" x14ac:dyDescent="0.3">
      <c r="A670" t="s">
        <v>693</v>
      </c>
      <c r="B670" t="s">
        <v>54</v>
      </c>
      <c r="C670" s="1">
        <v>44776</v>
      </c>
      <c r="D670" t="s">
        <v>62</v>
      </c>
      <c r="E670" t="s">
        <v>66</v>
      </c>
      <c r="F670">
        <v>130</v>
      </c>
      <c r="G670" t="s">
        <v>1</v>
      </c>
      <c r="H670" s="2">
        <v>4</v>
      </c>
      <c r="I670" s="3">
        <f t="shared" ca="1" si="2"/>
        <v>8.0046960926208888E-2</v>
      </c>
      <c r="J670" s="4">
        <f ca="1">(Table3[[#This Row],[Price of One Product]]*Table3[[#This Row],[No of Products in one Sale]])-Table3[[#This Row],[Discount]]</f>
        <v>519.91995303907379</v>
      </c>
    </row>
    <row r="671" spans="1:10" x14ac:dyDescent="0.3">
      <c r="A671" t="s">
        <v>694</v>
      </c>
      <c r="B671" t="s">
        <v>51</v>
      </c>
      <c r="C671" s="1">
        <v>44771</v>
      </c>
      <c r="D671" t="s">
        <v>59</v>
      </c>
      <c r="E671" t="s">
        <v>66</v>
      </c>
      <c r="F671">
        <v>72</v>
      </c>
      <c r="G671" t="s">
        <v>2</v>
      </c>
      <c r="H671" s="2">
        <v>10</v>
      </c>
      <c r="I671" s="3">
        <f t="shared" ca="1" si="2"/>
        <v>0.92866771245355773</v>
      </c>
      <c r="J671" s="4">
        <f ca="1">(Table3[[#This Row],[Price of One Product]]*Table3[[#This Row],[No of Products in one Sale]])-Table3[[#This Row],[Discount]]</f>
        <v>719.0713322875464</v>
      </c>
    </row>
    <row r="672" spans="1:10" x14ac:dyDescent="0.3">
      <c r="A672" t="s">
        <v>695</v>
      </c>
      <c r="B672" t="s">
        <v>52</v>
      </c>
      <c r="C672" s="1">
        <v>44794</v>
      </c>
      <c r="D672" t="s">
        <v>60</v>
      </c>
      <c r="E672" t="s">
        <v>66</v>
      </c>
      <c r="F672">
        <v>65</v>
      </c>
      <c r="G672" t="s">
        <v>0</v>
      </c>
      <c r="H672" s="2">
        <v>8</v>
      </c>
      <c r="I672" s="3">
        <f t="shared" ca="1" si="2"/>
        <v>0.68693508772946321</v>
      </c>
      <c r="J672" s="4">
        <f ca="1">(Table3[[#This Row],[Price of One Product]]*Table3[[#This Row],[No of Products in one Sale]])-Table3[[#This Row],[Discount]]</f>
        <v>519.31306491227053</v>
      </c>
    </row>
    <row r="673" spans="1:10" x14ac:dyDescent="0.3">
      <c r="A673" t="s">
        <v>696</v>
      </c>
      <c r="B673" t="s">
        <v>53</v>
      </c>
      <c r="C673" s="1">
        <v>44792</v>
      </c>
      <c r="D673" t="s">
        <v>61</v>
      </c>
      <c r="E673" t="s">
        <v>66</v>
      </c>
      <c r="F673">
        <v>250</v>
      </c>
      <c r="G673" t="s">
        <v>1</v>
      </c>
      <c r="H673" s="2">
        <v>2</v>
      </c>
      <c r="I673" s="3">
        <f t="shared" ca="1" si="2"/>
        <v>0.86977076016941202</v>
      </c>
      <c r="J673" s="4">
        <f ca="1">(Table3[[#This Row],[Price of One Product]]*Table3[[#This Row],[No of Products in one Sale]])-Table3[[#This Row],[Discount]]</f>
        <v>499.13022923983061</v>
      </c>
    </row>
    <row r="674" spans="1:10" x14ac:dyDescent="0.3">
      <c r="A674" t="s">
        <v>697</v>
      </c>
      <c r="B674" t="s">
        <v>54</v>
      </c>
      <c r="C674" s="1">
        <v>44792</v>
      </c>
      <c r="D674" t="s">
        <v>62</v>
      </c>
      <c r="E674" t="s">
        <v>66</v>
      </c>
      <c r="F674">
        <v>130</v>
      </c>
      <c r="G674" t="s">
        <v>2</v>
      </c>
      <c r="H674" s="2">
        <v>2</v>
      </c>
      <c r="I674" s="3">
        <f t="shared" ca="1" si="2"/>
        <v>0.72380117008694456</v>
      </c>
      <c r="J674" s="4">
        <f ca="1">(Table3[[#This Row],[Price of One Product]]*Table3[[#This Row],[No of Products in one Sale]])-Table3[[#This Row],[Discount]]</f>
        <v>259.27619882991303</v>
      </c>
    </row>
    <row r="675" spans="1:10" x14ac:dyDescent="0.3">
      <c r="A675" t="s">
        <v>698</v>
      </c>
      <c r="B675" t="s">
        <v>55</v>
      </c>
      <c r="C675" s="1">
        <v>44790</v>
      </c>
      <c r="D675" t="s">
        <v>63</v>
      </c>
      <c r="E675" t="s">
        <v>67</v>
      </c>
      <c r="F675">
        <v>60</v>
      </c>
      <c r="G675" t="s">
        <v>0</v>
      </c>
      <c r="H675" s="2">
        <v>14</v>
      </c>
      <c r="I675" s="3">
        <f t="shared" ca="1" si="2"/>
        <v>0.29432158369945427</v>
      </c>
      <c r="J675" s="4">
        <f ca="1">(Table3[[#This Row],[Price of One Product]]*Table3[[#This Row],[No of Products in one Sale]])-Table3[[#This Row],[Discount]]</f>
        <v>839.70567841630054</v>
      </c>
    </row>
    <row r="676" spans="1:10" x14ac:dyDescent="0.3">
      <c r="A676" t="s">
        <v>699</v>
      </c>
      <c r="B676" t="s">
        <v>56</v>
      </c>
      <c r="C676" s="1">
        <v>44809</v>
      </c>
      <c r="D676" t="s">
        <v>64</v>
      </c>
      <c r="E676" t="s">
        <v>66</v>
      </c>
      <c r="F676">
        <v>95</v>
      </c>
      <c r="G676" t="s">
        <v>1</v>
      </c>
      <c r="H676" s="2">
        <v>3</v>
      </c>
      <c r="I676" s="3">
        <f t="shared" ca="1" si="2"/>
        <v>0.56737091637550885</v>
      </c>
      <c r="J676" s="4">
        <f ca="1">(Table3[[#This Row],[Price of One Product]]*Table3[[#This Row],[No of Products in one Sale]])-Table3[[#This Row],[Discount]]</f>
        <v>284.43262908362448</v>
      </c>
    </row>
    <row r="677" spans="1:10" x14ac:dyDescent="0.3">
      <c r="A677" t="s">
        <v>700</v>
      </c>
      <c r="B677" t="s">
        <v>51</v>
      </c>
      <c r="C677" s="1">
        <v>44772</v>
      </c>
      <c r="D677" t="s">
        <v>59</v>
      </c>
      <c r="E677" t="s">
        <v>66</v>
      </c>
      <c r="F677">
        <v>72</v>
      </c>
      <c r="G677" t="s">
        <v>2</v>
      </c>
      <c r="H677" s="2">
        <v>6</v>
      </c>
      <c r="I677" s="3">
        <f t="shared" ca="1" si="2"/>
        <v>0.10634323780032406</v>
      </c>
      <c r="J677" s="4">
        <f ca="1">(Table3[[#This Row],[Price of One Product]]*Table3[[#This Row],[No of Products in one Sale]])-Table3[[#This Row],[Discount]]</f>
        <v>431.89365676219967</v>
      </c>
    </row>
    <row r="678" spans="1:10" x14ac:dyDescent="0.3">
      <c r="A678" t="s">
        <v>701</v>
      </c>
      <c r="B678" t="s">
        <v>52</v>
      </c>
      <c r="C678" s="1">
        <v>44802</v>
      </c>
      <c r="D678" t="s">
        <v>60</v>
      </c>
      <c r="E678" t="s">
        <v>66</v>
      </c>
      <c r="F678">
        <v>65</v>
      </c>
      <c r="G678" t="s">
        <v>0</v>
      </c>
      <c r="H678" s="2">
        <v>12</v>
      </c>
      <c r="I678" s="3">
        <f t="shared" ca="1" si="2"/>
        <v>0.97411257980702104</v>
      </c>
      <c r="J678" s="4">
        <f ca="1">(Table3[[#This Row],[Price of One Product]]*Table3[[#This Row],[No of Products in one Sale]])-Table3[[#This Row],[Discount]]</f>
        <v>779.02588742019293</v>
      </c>
    </row>
    <row r="679" spans="1:10" x14ac:dyDescent="0.3">
      <c r="A679" t="s">
        <v>702</v>
      </c>
      <c r="B679" t="s">
        <v>53</v>
      </c>
      <c r="C679" s="1">
        <v>44809</v>
      </c>
      <c r="D679" t="s">
        <v>61</v>
      </c>
      <c r="E679" t="s">
        <v>67</v>
      </c>
      <c r="F679">
        <v>250</v>
      </c>
      <c r="G679" t="s">
        <v>1</v>
      </c>
      <c r="H679" s="2">
        <v>2</v>
      </c>
      <c r="I679" s="3">
        <f t="shared" ca="1" si="2"/>
        <v>0.67315122456848764</v>
      </c>
      <c r="J679" s="4">
        <f ca="1">(Table3[[#This Row],[Price of One Product]]*Table3[[#This Row],[No of Products in one Sale]])-Table3[[#This Row],[Discount]]</f>
        <v>499.32684877543153</v>
      </c>
    </row>
    <row r="680" spans="1:10" x14ac:dyDescent="0.3">
      <c r="A680" t="s">
        <v>703</v>
      </c>
      <c r="B680" t="s">
        <v>54</v>
      </c>
      <c r="C680" s="1">
        <v>44793</v>
      </c>
      <c r="D680" t="s">
        <v>62</v>
      </c>
      <c r="E680" t="s">
        <v>67</v>
      </c>
      <c r="F680">
        <v>130</v>
      </c>
      <c r="G680" t="s">
        <v>2</v>
      </c>
      <c r="H680" s="2">
        <v>2</v>
      </c>
      <c r="I680" s="3">
        <f t="shared" ca="1" si="2"/>
        <v>0.26192157516585257</v>
      </c>
      <c r="J680" s="4">
        <f ca="1">(Table3[[#This Row],[Price of One Product]]*Table3[[#This Row],[No of Products in one Sale]])-Table3[[#This Row],[Discount]]</f>
        <v>259.73807842483416</v>
      </c>
    </row>
    <row r="681" spans="1:10" x14ac:dyDescent="0.3">
      <c r="A681" t="s">
        <v>704</v>
      </c>
      <c r="B681" t="s">
        <v>51</v>
      </c>
      <c r="C681" s="1">
        <v>44802</v>
      </c>
      <c r="D681" t="s">
        <v>59</v>
      </c>
      <c r="E681" t="s">
        <v>67</v>
      </c>
      <c r="F681">
        <v>72</v>
      </c>
      <c r="G681" t="s">
        <v>0</v>
      </c>
      <c r="H681" s="2">
        <v>8</v>
      </c>
      <c r="I681" s="3">
        <f t="shared" ca="1" si="2"/>
        <v>0.28210076261219308</v>
      </c>
      <c r="J681" s="4">
        <f ca="1">(Table3[[#This Row],[Price of One Product]]*Table3[[#This Row],[No of Products in one Sale]])-Table3[[#This Row],[Discount]]</f>
        <v>575.71789923738777</v>
      </c>
    </row>
    <row r="682" spans="1:10" x14ac:dyDescent="0.3">
      <c r="A682" t="s">
        <v>705</v>
      </c>
      <c r="B682" t="s">
        <v>52</v>
      </c>
      <c r="C682" s="1">
        <v>44766</v>
      </c>
      <c r="D682" t="s">
        <v>60</v>
      </c>
      <c r="E682" t="s">
        <v>67</v>
      </c>
      <c r="F682">
        <v>65</v>
      </c>
      <c r="G682" t="s">
        <v>1</v>
      </c>
      <c r="H682" s="2">
        <v>10</v>
      </c>
      <c r="I682" s="3">
        <f t="shared" ca="1" si="2"/>
        <v>0.69299375028721444</v>
      </c>
      <c r="J682" s="4">
        <f ca="1">(Table3[[#This Row],[Price of One Product]]*Table3[[#This Row],[No of Products in one Sale]])-Table3[[#This Row],[Discount]]</f>
        <v>649.3070062497128</v>
      </c>
    </row>
    <row r="683" spans="1:10" x14ac:dyDescent="0.3">
      <c r="A683" t="s">
        <v>706</v>
      </c>
      <c r="B683" t="s">
        <v>53</v>
      </c>
      <c r="C683" s="1">
        <v>44807</v>
      </c>
      <c r="D683" t="s">
        <v>61</v>
      </c>
      <c r="E683" t="s">
        <v>67</v>
      </c>
      <c r="F683">
        <v>250</v>
      </c>
      <c r="G683" t="s">
        <v>2</v>
      </c>
      <c r="H683" s="2">
        <v>3</v>
      </c>
      <c r="I683" s="3">
        <f t="shared" ca="1" si="2"/>
        <v>0.69163207362580548</v>
      </c>
      <c r="J683" s="4">
        <f ca="1">(Table3[[#This Row],[Price of One Product]]*Table3[[#This Row],[No of Products in one Sale]])-Table3[[#This Row],[Discount]]</f>
        <v>749.30836792637422</v>
      </c>
    </row>
    <row r="684" spans="1:10" x14ac:dyDescent="0.3">
      <c r="A684" t="s">
        <v>707</v>
      </c>
      <c r="B684" t="s">
        <v>54</v>
      </c>
      <c r="C684" s="1">
        <v>44784</v>
      </c>
      <c r="D684" t="s">
        <v>62</v>
      </c>
      <c r="E684" t="s">
        <v>67</v>
      </c>
      <c r="F684">
        <v>130</v>
      </c>
      <c r="G684" t="s">
        <v>0</v>
      </c>
      <c r="H684" s="2">
        <v>7</v>
      </c>
      <c r="I684" s="3">
        <f t="shared" ca="1" si="2"/>
        <v>0.82506471395694958</v>
      </c>
      <c r="J684" s="4">
        <f ca="1">(Table3[[#This Row],[Price of One Product]]*Table3[[#This Row],[No of Products in one Sale]])-Table3[[#This Row],[Discount]]</f>
        <v>909.17493528604302</v>
      </c>
    </row>
    <row r="685" spans="1:10" x14ac:dyDescent="0.3">
      <c r="A685" t="s">
        <v>708</v>
      </c>
      <c r="B685" t="s">
        <v>51</v>
      </c>
      <c r="C685" s="1">
        <v>44763</v>
      </c>
      <c r="D685" t="s">
        <v>59</v>
      </c>
      <c r="E685" t="s">
        <v>66</v>
      </c>
      <c r="F685">
        <v>72</v>
      </c>
      <c r="G685" t="s">
        <v>0</v>
      </c>
      <c r="H685" s="2">
        <v>10</v>
      </c>
      <c r="I685" s="3">
        <f t="shared" ca="1" si="2"/>
        <v>0.15450351361270465</v>
      </c>
      <c r="J685" s="4">
        <f ca="1">(Table3[[#This Row],[Price of One Product]]*Table3[[#This Row],[No of Products in one Sale]])-Table3[[#This Row],[Discount]]</f>
        <v>719.84549648638733</v>
      </c>
    </row>
    <row r="686" spans="1:10" x14ac:dyDescent="0.3">
      <c r="A686" t="s">
        <v>709</v>
      </c>
      <c r="B686" t="s">
        <v>52</v>
      </c>
      <c r="C686" s="1">
        <v>44799</v>
      </c>
      <c r="D686" t="s">
        <v>60</v>
      </c>
      <c r="E686" t="s">
        <v>67</v>
      </c>
      <c r="F686">
        <v>65</v>
      </c>
      <c r="G686" t="s">
        <v>1</v>
      </c>
      <c r="H686" s="2">
        <v>13</v>
      </c>
      <c r="I686" s="3">
        <f t="shared" ca="1" si="2"/>
        <v>0.48829120433766637</v>
      </c>
      <c r="J686" s="4">
        <f ca="1">(Table3[[#This Row],[Price of One Product]]*Table3[[#This Row],[No of Products in one Sale]])-Table3[[#This Row],[Discount]]</f>
        <v>844.51170879566234</v>
      </c>
    </row>
    <row r="687" spans="1:10" x14ac:dyDescent="0.3">
      <c r="A687" t="s">
        <v>710</v>
      </c>
      <c r="B687" t="s">
        <v>53</v>
      </c>
      <c r="C687" s="1">
        <v>44808</v>
      </c>
      <c r="D687" t="s">
        <v>61</v>
      </c>
      <c r="E687" t="s">
        <v>66</v>
      </c>
      <c r="F687">
        <v>250</v>
      </c>
      <c r="G687" t="s">
        <v>2</v>
      </c>
      <c r="H687" s="2">
        <v>1</v>
      </c>
      <c r="I687" s="3">
        <f t="shared" ca="1" si="2"/>
        <v>0.31435981534587409</v>
      </c>
      <c r="J687" s="4">
        <f ca="1">(Table3[[#This Row],[Price of One Product]]*Table3[[#This Row],[No of Products in one Sale]])-Table3[[#This Row],[Discount]]</f>
        <v>249.68564018465412</v>
      </c>
    </row>
    <row r="688" spans="1:10" x14ac:dyDescent="0.3">
      <c r="A688" t="s">
        <v>711</v>
      </c>
      <c r="B688" t="s">
        <v>54</v>
      </c>
      <c r="C688" s="1">
        <v>44786</v>
      </c>
      <c r="D688" t="s">
        <v>62</v>
      </c>
      <c r="E688" t="s">
        <v>67</v>
      </c>
      <c r="F688">
        <v>130</v>
      </c>
      <c r="G688" t="s">
        <v>0</v>
      </c>
      <c r="H688" s="2">
        <v>2</v>
      </c>
      <c r="I688" s="3">
        <f t="shared" ca="1" si="2"/>
        <v>0.95560832482938562</v>
      </c>
      <c r="J688" s="4">
        <f ca="1">(Table3[[#This Row],[Price of One Product]]*Table3[[#This Row],[No of Products in one Sale]])-Table3[[#This Row],[Discount]]</f>
        <v>259.04439167517063</v>
      </c>
    </row>
    <row r="689" spans="1:10" x14ac:dyDescent="0.3">
      <c r="A689" t="s">
        <v>712</v>
      </c>
      <c r="B689" t="s">
        <v>51</v>
      </c>
      <c r="C689" s="1">
        <v>44770</v>
      </c>
      <c r="D689" t="s">
        <v>59</v>
      </c>
      <c r="E689" t="s">
        <v>66</v>
      </c>
      <c r="F689">
        <v>72</v>
      </c>
      <c r="G689" t="s">
        <v>1</v>
      </c>
      <c r="H689" s="2">
        <v>10</v>
      </c>
      <c r="I689" s="3">
        <f t="shared" ca="1" si="2"/>
        <v>0.19537127396986353</v>
      </c>
      <c r="J689" s="4">
        <f ca="1">(Table3[[#This Row],[Price of One Product]]*Table3[[#This Row],[No of Products in one Sale]])-Table3[[#This Row],[Discount]]</f>
        <v>719.80462872603016</v>
      </c>
    </row>
    <row r="690" spans="1:10" x14ac:dyDescent="0.3">
      <c r="A690" t="s">
        <v>713</v>
      </c>
      <c r="B690" t="s">
        <v>52</v>
      </c>
      <c r="C690" s="1">
        <v>44777</v>
      </c>
      <c r="D690" t="s">
        <v>60</v>
      </c>
      <c r="E690" t="s">
        <v>67</v>
      </c>
      <c r="F690">
        <v>65</v>
      </c>
      <c r="G690" t="s">
        <v>2</v>
      </c>
      <c r="H690" s="2">
        <v>4</v>
      </c>
      <c r="I690" s="3">
        <f t="shared" ca="1" si="2"/>
        <v>0.43419290493411855</v>
      </c>
      <c r="J690" s="4">
        <f ca="1">(Table3[[#This Row],[Price of One Product]]*Table3[[#This Row],[No of Products in one Sale]])-Table3[[#This Row],[Discount]]</f>
        <v>259.56580709506591</v>
      </c>
    </row>
    <row r="691" spans="1:10" x14ac:dyDescent="0.3">
      <c r="A691" t="s">
        <v>714</v>
      </c>
      <c r="B691" t="s">
        <v>53</v>
      </c>
      <c r="C691" s="1">
        <v>44780</v>
      </c>
      <c r="D691" t="s">
        <v>61</v>
      </c>
      <c r="E691" t="s">
        <v>66</v>
      </c>
      <c r="F691">
        <v>250</v>
      </c>
      <c r="G691" t="s">
        <v>0</v>
      </c>
      <c r="H691" s="2">
        <v>3</v>
      </c>
      <c r="I691" s="3">
        <f t="shared" ca="1" si="2"/>
        <v>0.84254025736303351</v>
      </c>
      <c r="J691" s="4">
        <f ca="1">(Table3[[#This Row],[Price of One Product]]*Table3[[#This Row],[No of Products in one Sale]])-Table3[[#This Row],[Discount]]</f>
        <v>749.157459742637</v>
      </c>
    </row>
    <row r="692" spans="1:10" x14ac:dyDescent="0.3">
      <c r="A692" t="s">
        <v>715</v>
      </c>
      <c r="B692" t="s">
        <v>54</v>
      </c>
      <c r="C692" s="1">
        <v>44778</v>
      </c>
      <c r="D692" t="s">
        <v>62</v>
      </c>
      <c r="E692" t="s">
        <v>67</v>
      </c>
      <c r="F692">
        <v>130</v>
      </c>
      <c r="G692" t="s">
        <v>1</v>
      </c>
      <c r="H692" s="2">
        <v>4</v>
      </c>
      <c r="I692" s="3">
        <f t="shared" ca="1" si="2"/>
        <v>0.99795717842896592</v>
      </c>
      <c r="J692" s="4">
        <f ca="1">(Table3[[#This Row],[Price of One Product]]*Table3[[#This Row],[No of Products in one Sale]])-Table3[[#This Row],[Discount]]</f>
        <v>519.00204282157108</v>
      </c>
    </row>
    <row r="693" spans="1:10" x14ac:dyDescent="0.3">
      <c r="A693" t="s">
        <v>716</v>
      </c>
      <c r="B693" t="s">
        <v>55</v>
      </c>
      <c r="C693" s="1">
        <v>44774</v>
      </c>
      <c r="D693" t="s">
        <v>63</v>
      </c>
      <c r="E693" t="s">
        <v>66</v>
      </c>
      <c r="F693">
        <v>60</v>
      </c>
      <c r="G693" t="s">
        <v>2</v>
      </c>
      <c r="H693" s="2">
        <v>13</v>
      </c>
      <c r="I693" s="3">
        <f t="shared" ca="1" si="2"/>
        <v>0.64307243706076045</v>
      </c>
      <c r="J693" s="4">
        <f ca="1">(Table3[[#This Row],[Price of One Product]]*Table3[[#This Row],[No of Products in one Sale]])-Table3[[#This Row],[Discount]]</f>
        <v>779.35692756293929</v>
      </c>
    </row>
    <row r="694" spans="1:10" x14ac:dyDescent="0.3">
      <c r="A694" t="s">
        <v>717</v>
      </c>
      <c r="B694" t="s">
        <v>51</v>
      </c>
      <c r="C694" s="1">
        <v>44760</v>
      </c>
      <c r="D694" t="s">
        <v>59</v>
      </c>
      <c r="E694" t="s">
        <v>67</v>
      </c>
      <c r="F694">
        <v>72</v>
      </c>
      <c r="G694" t="s">
        <v>0</v>
      </c>
      <c r="H694" s="2">
        <v>3</v>
      </c>
      <c r="I694" s="3">
        <f t="shared" ref="I694:I757" ca="1" si="3">RAND()</f>
        <v>0.60335386979373185</v>
      </c>
      <c r="J694" s="4">
        <f ca="1">(Table3[[#This Row],[Price of One Product]]*Table3[[#This Row],[No of Products in one Sale]])-Table3[[#This Row],[Discount]]</f>
        <v>215.39664613020628</v>
      </c>
    </row>
    <row r="695" spans="1:10" x14ac:dyDescent="0.3">
      <c r="A695" t="s">
        <v>718</v>
      </c>
      <c r="B695" t="s">
        <v>52</v>
      </c>
      <c r="C695" s="1">
        <v>44756</v>
      </c>
      <c r="D695" t="s">
        <v>60</v>
      </c>
      <c r="E695" t="s">
        <v>66</v>
      </c>
      <c r="F695">
        <v>65</v>
      </c>
      <c r="G695" t="s">
        <v>1</v>
      </c>
      <c r="H695" s="2">
        <v>9</v>
      </c>
      <c r="I695" s="3">
        <f t="shared" ca="1" si="3"/>
        <v>0.38040376021234856</v>
      </c>
      <c r="J695" s="4">
        <f ca="1">(Table3[[#This Row],[Price of One Product]]*Table3[[#This Row],[No of Products in one Sale]])-Table3[[#This Row],[Discount]]</f>
        <v>584.6195962397876</v>
      </c>
    </row>
    <row r="696" spans="1:10" x14ac:dyDescent="0.3">
      <c r="A696" t="s">
        <v>719</v>
      </c>
      <c r="B696" t="s">
        <v>53</v>
      </c>
      <c r="C696" s="1">
        <v>44755</v>
      </c>
      <c r="D696" t="s">
        <v>61</v>
      </c>
      <c r="E696" t="s">
        <v>67</v>
      </c>
      <c r="F696">
        <v>250</v>
      </c>
      <c r="G696" t="s">
        <v>2</v>
      </c>
      <c r="H696" s="2">
        <v>3</v>
      </c>
      <c r="I696" s="3">
        <f t="shared" ca="1" si="3"/>
        <v>0.54900478756918292</v>
      </c>
      <c r="J696" s="4">
        <f ca="1">(Table3[[#This Row],[Price of One Product]]*Table3[[#This Row],[No of Products in one Sale]])-Table3[[#This Row],[Discount]]</f>
        <v>749.45099521243083</v>
      </c>
    </row>
    <row r="697" spans="1:10" x14ac:dyDescent="0.3">
      <c r="A697" t="s">
        <v>720</v>
      </c>
      <c r="B697" t="s">
        <v>54</v>
      </c>
      <c r="C697" s="1">
        <v>44770</v>
      </c>
      <c r="D697" t="s">
        <v>62</v>
      </c>
      <c r="E697" t="s">
        <v>66</v>
      </c>
      <c r="F697">
        <v>130</v>
      </c>
      <c r="G697" t="s">
        <v>0</v>
      </c>
      <c r="H697" s="2">
        <v>5</v>
      </c>
      <c r="I697" s="3">
        <f t="shared" ca="1" si="3"/>
        <v>0.25796547809381687</v>
      </c>
      <c r="J697" s="4">
        <f ca="1">(Table3[[#This Row],[Price of One Product]]*Table3[[#This Row],[No of Products in one Sale]])-Table3[[#This Row],[Discount]]</f>
        <v>649.74203452190613</v>
      </c>
    </row>
    <row r="698" spans="1:10" x14ac:dyDescent="0.3">
      <c r="A698" t="s">
        <v>721</v>
      </c>
      <c r="B698" t="s">
        <v>51</v>
      </c>
      <c r="C698" s="1">
        <v>44755</v>
      </c>
      <c r="D698" t="s">
        <v>59</v>
      </c>
      <c r="E698" t="s">
        <v>67</v>
      </c>
      <c r="F698">
        <v>72</v>
      </c>
      <c r="G698" t="s">
        <v>1</v>
      </c>
      <c r="H698" s="2">
        <v>9</v>
      </c>
      <c r="I698" s="3">
        <f t="shared" ca="1" si="3"/>
        <v>0.58859894864312945</v>
      </c>
      <c r="J698" s="4">
        <f ca="1">(Table3[[#This Row],[Price of One Product]]*Table3[[#This Row],[No of Products in one Sale]])-Table3[[#This Row],[Discount]]</f>
        <v>647.41140105135685</v>
      </c>
    </row>
    <row r="699" spans="1:10" x14ac:dyDescent="0.3">
      <c r="A699" t="s">
        <v>722</v>
      </c>
      <c r="B699" t="s">
        <v>52</v>
      </c>
      <c r="C699" s="1">
        <v>44775</v>
      </c>
      <c r="D699" t="s">
        <v>60</v>
      </c>
      <c r="E699" t="s">
        <v>66</v>
      </c>
      <c r="F699">
        <v>65</v>
      </c>
      <c r="G699" t="s">
        <v>2</v>
      </c>
      <c r="H699" s="2">
        <v>7</v>
      </c>
      <c r="I699" s="3">
        <f t="shared" ca="1" si="3"/>
        <v>4.3497050767691392E-2</v>
      </c>
      <c r="J699" s="4">
        <f ca="1">(Table3[[#This Row],[Price of One Product]]*Table3[[#This Row],[No of Products in one Sale]])-Table3[[#This Row],[Discount]]</f>
        <v>454.95650294923229</v>
      </c>
    </row>
    <row r="700" spans="1:10" x14ac:dyDescent="0.3">
      <c r="A700" t="s">
        <v>723</v>
      </c>
      <c r="B700" t="s">
        <v>53</v>
      </c>
      <c r="C700" s="1">
        <v>44797</v>
      </c>
      <c r="D700" t="s">
        <v>61</v>
      </c>
      <c r="E700" t="s">
        <v>67</v>
      </c>
      <c r="F700">
        <v>250</v>
      </c>
      <c r="G700" t="s">
        <v>0</v>
      </c>
      <c r="H700" s="2">
        <v>2</v>
      </c>
      <c r="I700" s="3">
        <f t="shared" ca="1" si="3"/>
        <v>0.8516725236500452</v>
      </c>
      <c r="J700" s="4">
        <f ca="1">(Table3[[#This Row],[Price of One Product]]*Table3[[#This Row],[No of Products in one Sale]])-Table3[[#This Row],[Discount]]</f>
        <v>499.14832747634995</v>
      </c>
    </row>
    <row r="701" spans="1:10" x14ac:dyDescent="0.3">
      <c r="A701" t="s">
        <v>724</v>
      </c>
      <c r="B701" t="s">
        <v>54</v>
      </c>
      <c r="C701" s="1">
        <v>44802</v>
      </c>
      <c r="D701" t="s">
        <v>62</v>
      </c>
      <c r="E701" t="s">
        <v>66</v>
      </c>
      <c r="F701">
        <v>130</v>
      </c>
      <c r="G701" t="s">
        <v>1</v>
      </c>
      <c r="H701" s="2">
        <v>7</v>
      </c>
      <c r="I701" s="3">
        <f t="shared" ca="1" si="3"/>
        <v>0.22243797420581179</v>
      </c>
      <c r="J701" s="4">
        <f ca="1">(Table3[[#This Row],[Price of One Product]]*Table3[[#This Row],[No of Products in one Sale]])-Table3[[#This Row],[Discount]]</f>
        <v>909.77756202579417</v>
      </c>
    </row>
    <row r="702" spans="1:10" x14ac:dyDescent="0.3">
      <c r="A702" t="s">
        <v>725</v>
      </c>
      <c r="B702" t="s">
        <v>55</v>
      </c>
      <c r="C702" s="1">
        <v>44764</v>
      </c>
      <c r="D702" t="s">
        <v>63</v>
      </c>
      <c r="E702" t="s">
        <v>66</v>
      </c>
      <c r="F702">
        <v>60</v>
      </c>
      <c r="G702" t="s">
        <v>2</v>
      </c>
      <c r="H702" s="2">
        <v>8</v>
      </c>
      <c r="I702" s="3">
        <f t="shared" ca="1" si="3"/>
        <v>1.1578433138361821E-2</v>
      </c>
      <c r="J702" s="4">
        <f ca="1">(Table3[[#This Row],[Price of One Product]]*Table3[[#This Row],[No of Products in one Sale]])-Table3[[#This Row],[Discount]]</f>
        <v>479.98842156686163</v>
      </c>
    </row>
    <row r="703" spans="1:10" x14ac:dyDescent="0.3">
      <c r="A703" t="s">
        <v>726</v>
      </c>
      <c r="B703" t="s">
        <v>56</v>
      </c>
      <c r="C703" s="1">
        <v>44780</v>
      </c>
      <c r="D703" t="s">
        <v>64</v>
      </c>
      <c r="E703" t="s">
        <v>67</v>
      </c>
      <c r="F703">
        <v>95</v>
      </c>
      <c r="G703" t="s">
        <v>0</v>
      </c>
      <c r="H703" s="2">
        <v>2</v>
      </c>
      <c r="I703" s="3">
        <f t="shared" ca="1" si="3"/>
        <v>0.49020225345350321</v>
      </c>
      <c r="J703" s="4">
        <f ca="1">(Table3[[#This Row],[Price of One Product]]*Table3[[#This Row],[No of Products in one Sale]])-Table3[[#This Row],[Discount]]</f>
        <v>189.5097977465465</v>
      </c>
    </row>
    <row r="704" spans="1:10" x14ac:dyDescent="0.3">
      <c r="A704" t="s">
        <v>727</v>
      </c>
      <c r="B704" t="s">
        <v>51</v>
      </c>
      <c r="C704" s="1">
        <v>44799</v>
      </c>
      <c r="D704" t="s">
        <v>59</v>
      </c>
      <c r="E704" t="s">
        <v>67</v>
      </c>
      <c r="F704">
        <v>72</v>
      </c>
      <c r="G704" t="s">
        <v>1</v>
      </c>
      <c r="H704" s="2">
        <v>5</v>
      </c>
      <c r="I704" s="3">
        <f t="shared" ca="1" si="3"/>
        <v>0.61289673834899927</v>
      </c>
      <c r="J704" s="4">
        <f ca="1">(Table3[[#This Row],[Price of One Product]]*Table3[[#This Row],[No of Products in one Sale]])-Table3[[#This Row],[Discount]]</f>
        <v>359.38710326165102</v>
      </c>
    </row>
    <row r="705" spans="1:10" x14ac:dyDescent="0.3">
      <c r="A705" t="s">
        <v>728</v>
      </c>
      <c r="B705" t="s">
        <v>52</v>
      </c>
      <c r="C705" s="1">
        <v>44761</v>
      </c>
      <c r="D705" t="s">
        <v>60</v>
      </c>
      <c r="E705" t="s">
        <v>67</v>
      </c>
      <c r="F705">
        <v>65</v>
      </c>
      <c r="G705" t="s">
        <v>2</v>
      </c>
      <c r="H705" s="2">
        <v>13</v>
      </c>
      <c r="I705" s="3">
        <f t="shared" ca="1" si="3"/>
        <v>0.82754482678329733</v>
      </c>
      <c r="J705" s="4">
        <f ca="1">(Table3[[#This Row],[Price of One Product]]*Table3[[#This Row],[No of Products in one Sale]])-Table3[[#This Row],[Discount]]</f>
        <v>844.17245517321669</v>
      </c>
    </row>
    <row r="706" spans="1:10" x14ac:dyDescent="0.3">
      <c r="A706" t="s">
        <v>729</v>
      </c>
      <c r="B706" t="s">
        <v>53</v>
      </c>
      <c r="C706" s="1">
        <v>44782</v>
      </c>
      <c r="D706" t="s">
        <v>61</v>
      </c>
      <c r="E706" t="s">
        <v>66</v>
      </c>
      <c r="F706">
        <v>250</v>
      </c>
      <c r="G706" t="s">
        <v>0</v>
      </c>
      <c r="H706" s="2">
        <v>3</v>
      </c>
      <c r="I706" s="3">
        <f t="shared" ca="1" si="3"/>
        <v>0.52016081079913812</v>
      </c>
      <c r="J706" s="4">
        <f ca="1">(Table3[[#This Row],[Price of One Product]]*Table3[[#This Row],[No of Products in one Sale]])-Table3[[#This Row],[Discount]]</f>
        <v>749.4798391892009</v>
      </c>
    </row>
    <row r="707" spans="1:10" x14ac:dyDescent="0.3">
      <c r="A707" t="s">
        <v>730</v>
      </c>
      <c r="B707" t="s">
        <v>54</v>
      </c>
      <c r="C707" s="1">
        <v>44806</v>
      </c>
      <c r="D707" t="s">
        <v>62</v>
      </c>
      <c r="E707" t="s">
        <v>66</v>
      </c>
      <c r="F707">
        <v>130</v>
      </c>
      <c r="G707" t="s">
        <v>1</v>
      </c>
      <c r="H707" s="2">
        <v>2</v>
      </c>
      <c r="I707" s="3">
        <f t="shared" ca="1" si="3"/>
        <v>0.37487187610332118</v>
      </c>
      <c r="J707" s="4">
        <f ca="1">(Table3[[#This Row],[Price of One Product]]*Table3[[#This Row],[No of Products in one Sale]])-Table3[[#This Row],[Discount]]</f>
        <v>259.62512812389667</v>
      </c>
    </row>
    <row r="708" spans="1:10" x14ac:dyDescent="0.3">
      <c r="A708" t="s">
        <v>731</v>
      </c>
      <c r="B708" t="s">
        <v>51</v>
      </c>
      <c r="C708" s="1">
        <v>44798</v>
      </c>
      <c r="D708" t="s">
        <v>59</v>
      </c>
      <c r="E708" t="s">
        <v>66</v>
      </c>
      <c r="F708">
        <v>72</v>
      </c>
      <c r="G708" t="s">
        <v>2</v>
      </c>
      <c r="H708" s="2">
        <v>5</v>
      </c>
      <c r="I708" s="3">
        <f t="shared" ca="1" si="3"/>
        <v>0.81382931079555998</v>
      </c>
      <c r="J708" s="4">
        <f ca="1">(Table3[[#This Row],[Price of One Product]]*Table3[[#This Row],[No of Products in one Sale]])-Table3[[#This Row],[Discount]]</f>
        <v>359.18617068920446</v>
      </c>
    </row>
    <row r="709" spans="1:10" x14ac:dyDescent="0.3">
      <c r="A709" t="s">
        <v>732</v>
      </c>
      <c r="B709" t="s">
        <v>52</v>
      </c>
      <c r="C709" s="1">
        <v>44758</v>
      </c>
      <c r="D709" t="s">
        <v>60</v>
      </c>
      <c r="E709" t="s">
        <v>66</v>
      </c>
      <c r="F709">
        <v>65</v>
      </c>
      <c r="G709" t="s">
        <v>0</v>
      </c>
      <c r="H709" s="2">
        <v>6</v>
      </c>
      <c r="I709" s="3">
        <f t="shared" ca="1" si="3"/>
        <v>6.3964656489779781E-2</v>
      </c>
      <c r="J709" s="4">
        <f ca="1">(Table3[[#This Row],[Price of One Product]]*Table3[[#This Row],[No of Products in one Sale]])-Table3[[#This Row],[Discount]]</f>
        <v>389.93603534351024</v>
      </c>
    </row>
    <row r="710" spans="1:10" x14ac:dyDescent="0.3">
      <c r="A710" t="s">
        <v>733</v>
      </c>
      <c r="B710" t="s">
        <v>53</v>
      </c>
      <c r="C710" s="1">
        <v>44785</v>
      </c>
      <c r="D710" t="s">
        <v>61</v>
      </c>
      <c r="E710" t="s">
        <v>66</v>
      </c>
      <c r="F710">
        <v>250</v>
      </c>
      <c r="G710" t="s">
        <v>1</v>
      </c>
      <c r="H710" s="2">
        <v>1</v>
      </c>
      <c r="I710" s="3">
        <f t="shared" ca="1" si="3"/>
        <v>0.12498627724241562</v>
      </c>
      <c r="J710" s="4">
        <f ca="1">(Table3[[#This Row],[Price of One Product]]*Table3[[#This Row],[No of Products in one Sale]])-Table3[[#This Row],[Discount]]</f>
        <v>249.87501372275759</v>
      </c>
    </row>
    <row r="711" spans="1:10" x14ac:dyDescent="0.3">
      <c r="A711" t="s">
        <v>734</v>
      </c>
      <c r="B711" t="s">
        <v>54</v>
      </c>
      <c r="C711" s="1">
        <v>44761</v>
      </c>
      <c r="D711" t="s">
        <v>62</v>
      </c>
      <c r="E711" t="s">
        <v>66</v>
      </c>
      <c r="F711">
        <v>130</v>
      </c>
      <c r="G711" t="s">
        <v>2</v>
      </c>
      <c r="H711" s="2">
        <v>4</v>
      </c>
      <c r="I711" s="3">
        <f t="shared" ca="1" si="3"/>
        <v>0.52300687253523892</v>
      </c>
      <c r="J711" s="4">
        <f ca="1">(Table3[[#This Row],[Price of One Product]]*Table3[[#This Row],[No of Products in one Sale]])-Table3[[#This Row],[Discount]]</f>
        <v>519.47699312746477</v>
      </c>
    </row>
    <row r="712" spans="1:10" x14ac:dyDescent="0.3">
      <c r="A712" t="s">
        <v>735</v>
      </c>
      <c r="B712" t="s">
        <v>55</v>
      </c>
      <c r="C712" s="1">
        <v>44800</v>
      </c>
      <c r="D712" t="s">
        <v>63</v>
      </c>
      <c r="E712" t="s">
        <v>66</v>
      </c>
      <c r="F712">
        <v>60</v>
      </c>
      <c r="G712" t="s">
        <v>0</v>
      </c>
      <c r="H712" s="2">
        <v>7</v>
      </c>
      <c r="I712" s="3">
        <f t="shared" ca="1" si="3"/>
        <v>0.37709560928773944</v>
      </c>
      <c r="J712" s="4">
        <f ca="1">(Table3[[#This Row],[Price of One Product]]*Table3[[#This Row],[No of Products in one Sale]])-Table3[[#This Row],[Discount]]</f>
        <v>419.62290439071228</v>
      </c>
    </row>
    <row r="713" spans="1:10" x14ac:dyDescent="0.3">
      <c r="A713" t="s">
        <v>736</v>
      </c>
      <c r="B713" t="s">
        <v>51</v>
      </c>
      <c r="C713" s="1">
        <v>44807</v>
      </c>
      <c r="D713" t="s">
        <v>59</v>
      </c>
      <c r="E713" t="s">
        <v>66</v>
      </c>
      <c r="F713">
        <v>72</v>
      </c>
      <c r="G713" t="s">
        <v>1</v>
      </c>
      <c r="H713" s="2">
        <v>6</v>
      </c>
      <c r="I713" s="3">
        <f t="shared" ca="1" si="3"/>
        <v>0.51393036694281791</v>
      </c>
      <c r="J713" s="4">
        <f ca="1">(Table3[[#This Row],[Price of One Product]]*Table3[[#This Row],[No of Products in one Sale]])-Table3[[#This Row],[Discount]]</f>
        <v>431.48606963305718</v>
      </c>
    </row>
    <row r="714" spans="1:10" x14ac:dyDescent="0.3">
      <c r="A714" t="s">
        <v>737</v>
      </c>
      <c r="B714" t="s">
        <v>52</v>
      </c>
      <c r="C714" s="1">
        <v>44799</v>
      </c>
      <c r="D714" t="s">
        <v>60</v>
      </c>
      <c r="E714" t="s">
        <v>66</v>
      </c>
      <c r="F714">
        <v>65</v>
      </c>
      <c r="G714" t="s">
        <v>2</v>
      </c>
      <c r="H714" s="2">
        <v>11</v>
      </c>
      <c r="I714" s="3">
        <f t="shared" ca="1" si="3"/>
        <v>0.29881036284344509</v>
      </c>
      <c r="J714" s="4">
        <f ca="1">(Table3[[#This Row],[Price of One Product]]*Table3[[#This Row],[No of Products in one Sale]])-Table3[[#This Row],[Discount]]</f>
        <v>714.70118963715652</v>
      </c>
    </row>
    <row r="715" spans="1:10" x14ac:dyDescent="0.3">
      <c r="A715" t="s">
        <v>738</v>
      </c>
      <c r="B715" t="s">
        <v>53</v>
      </c>
      <c r="C715" s="1">
        <v>44759</v>
      </c>
      <c r="D715" t="s">
        <v>61</v>
      </c>
      <c r="E715" t="s">
        <v>67</v>
      </c>
      <c r="F715">
        <v>250</v>
      </c>
      <c r="G715" t="s">
        <v>0</v>
      </c>
      <c r="H715" s="2">
        <v>1</v>
      </c>
      <c r="I715" s="3">
        <f t="shared" ca="1" si="3"/>
        <v>0.96453059880092884</v>
      </c>
      <c r="J715" s="4">
        <f ca="1">(Table3[[#This Row],[Price of One Product]]*Table3[[#This Row],[No of Products in one Sale]])-Table3[[#This Row],[Discount]]</f>
        <v>249.03546940119907</v>
      </c>
    </row>
    <row r="716" spans="1:10" x14ac:dyDescent="0.3">
      <c r="A716" t="s">
        <v>739</v>
      </c>
      <c r="B716" t="s">
        <v>54</v>
      </c>
      <c r="C716" s="1">
        <v>44763</v>
      </c>
      <c r="D716" t="s">
        <v>62</v>
      </c>
      <c r="E716" t="s">
        <v>66</v>
      </c>
      <c r="F716">
        <v>130</v>
      </c>
      <c r="G716" t="s">
        <v>1</v>
      </c>
      <c r="H716" s="2">
        <v>2</v>
      </c>
      <c r="I716" s="3">
        <f t="shared" ca="1" si="3"/>
        <v>0.96926875534656154</v>
      </c>
      <c r="J716" s="4">
        <f ca="1">(Table3[[#This Row],[Price of One Product]]*Table3[[#This Row],[No of Products in one Sale]])-Table3[[#This Row],[Discount]]</f>
        <v>259.03073124465345</v>
      </c>
    </row>
    <row r="717" spans="1:10" x14ac:dyDescent="0.3">
      <c r="A717" t="s">
        <v>740</v>
      </c>
      <c r="B717" t="s">
        <v>51</v>
      </c>
      <c r="C717" s="1">
        <v>44776</v>
      </c>
      <c r="D717" t="s">
        <v>59</v>
      </c>
      <c r="E717" t="s">
        <v>66</v>
      </c>
      <c r="F717">
        <v>72</v>
      </c>
      <c r="G717" t="s">
        <v>2</v>
      </c>
      <c r="H717" s="2">
        <v>12</v>
      </c>
      <c r="I717" s="3">
        <f t="shared" ca="1" si="3"/>
        <v>0.95045709640291642</v>
      </c>
      <c r="J717" s="4">
        <f ca="1">(Table3[[#This Row],[Price of One Product]]*Table3[[#This Row],[No of Products in one Sale]])-Table3[[#This Row],[Discount]]</f>
        <v>863.04954290359706</v>
      </c>
    </row>
    <row r="718" spans="1:10" x14ac:dyDescent="0.3">
      <c r="A718" t="s">
        <v>741</v>
      </c>
      <c r="B718" t="s">
        <v>52</v>
      </c>
      <c r="C718" s="1">
        <v>44763</v>
      </c>
      <c r="D718" t="s">
        <v>60</v>
      </c>
      <c r="E718" t="s">
        <v>66</v>
      </c>
      <c r="F718">
        <v>65</v>
      </c>
      <c r="G718" t="s">
        <v>0</v>
      </c>
      <c r="H718" s="2">
        <v>9</v>
      </c>
      <c r="I718" s="3">
        <f t="shared" ca="1" si="3"/>
        <v>0.43394555759576825</v>
      </c>
      <c r="J718" s="4">
        <f ca="1">(Table3[[#This Row],[Price of One Product]]*Table3[[#This Row],[No of Products in one Sale]])-Table3[[#This Row],[Discount]]</f>
        <v>584.56605444240427</v>
      </c>
    </row>
    <row r="719" spans="1:10" x14ac:dyDescent="0.3">
      <c r="A719" t="s">
        <v>742</v>
      </c>
      <c r="B719" t="s">
        <v>53</v>
      </c>
      <c r="C719" s="1">
        <v>44803</v>
      </c>
      <c r="D719" t="s">
        <v>61</v>
      </c>
      <c r="E719" t="s">
        <v>66</v>
      </c>
      <c r="F719">
        <v>250</v>
      </c>
      <c r="G719" t="s">
        <v>1</v>
      </c>
      <c r="H719" s="2">
        <v>2</v>
      </c>
      <c r="I719" s="3">
        <f t="shared" ca="1" si="3"/>
        <v>5.723378223817821E-2</v>
      </c>
      <c r="J719" s="4">
        <f ca="1">(Table3[[#This Row],[Price of One Product]]*Table3[[#This Row],[No of Products in one Sale]])-Table3[[#This Row],[Discount]]</f>
        <v>499.9427662177618</v>
      </c>
    </row>
    <row r="720" spans="1:10" x14ac:dyDescent="0.3">
      <c r="A720" t="s">
        <v>743</v>
      </c>
      <c r="B720" t="s">
        <v>54</v>
      </c>
      <c r="C720" s="1">
        <v>44806</v>
      </c>
      <c r="D720" t="s">
        <v>62</v>
      </c>
      <c r="E720" t="s">
        <v>66</v>
      </c>
      <c r="F720">
        <v>130</v>
      </c>
      <c r="G720" t="s">
        <v>2</v>
      </c>
      <c r="H720" s="2">
        <v>2</v>
      </c>
      <c r="I720" s="3">
        <f t="shared" ca="1" si="3"/>
        <v>0.71869083336635875</v>
      </c>
      <c r="J720" s="4">
        <f ca="1">(Table3[[#This Row],[Price of One Product]]*Table3[[#This Row],[No of Products in one Sale]])-Table3[[#This Row],[Discount]]</f>
        <v>259.28130916663366</v>
      </c>
    </row>
    <row r="721" spans="1:10" x14ac:dyDescent="0.3">
      <c r="A721" t="s">
        <v>744</v>
      </c>
      <c r="B721" t="s">
        <v>55</v>
      </c>
      <c r="C721" s="1">
        <v>44774</v>
      </c>
      <c r="D721" t="s">
        <v>63</v>
      </c>
      <c r="E721" t="s">
        <v>67</v>
      </c>
      <c r="F721">
        <v>60</v>
      </c>
      <c r="G721" t="s">
        <v>0</v>
      </c>
      <c r="H721" s="2">
        <v>12</v>
      </c>
      <c r="I721" s="3">
        <f t="shared" ca="1" si="3"/>
        <v>0.82521635218392053</v>
      </c>
      <c r="J721" s="4">
        <f ca="1">(Table3[[#This Row],[Price of One Product]]*Table3[[#This Row],[No of Products in one Sale]])-Table3[[#This Row],[Discount]]</f>
        <v>719.17478364781607</v>
      </c>
    </row>
    <row r="722" spans="1:10" x14ac:dyDescent="0.3">
      <c r="A722" t="s">
        <v>745</v>
      </c>
      <c r="B722" t="s">
        <v>56</v>
      </c>
      <c r="C722" s="1">
        <v>44769</v>
      </c>
      <c r="D722" t="s">
        <v>64</v>
      </c>
      <c r="E722" t="s">
        <v>66</v>
      </c>
      <c r="F722">
        <v>95</v>
      </c>
      <c r="G722" t="s">
        <v>1</v>
      </c>
      <c r="H722" s="2">
        <v>5</v>
      </c>
      <c r="I722" s="3">
        <f t="shared" ca="1" si="3"/>
        <v>0.77909598195856067</v>
      </c>
      <c r="J722" s="4">
        <f ca="1">(Table3[[#This Row],[Price of One Product]]*Table3[[#This Row],[No of Products in one Sale]])-Table3[[#This Row],[Discount]]</f>
        <v>474.22090401804144</v>
      </c>
    </row>
    <row r="723" spans="1:10" x14ac:dyDescent="0.3">
      <c r="A723" t="s">
        <v>746</v>
      </c>
      <c r="B723" t="s">
        <v>51</v>
      </c>
      <c r="C723" s="1">
        <v>44793</v>
      </c>
      <c r="D723" t="s">
        <v>59</v>
      </c>
      <c r="E723" t="s">
        <v>66</v>
      </c>
      <c r="F723">
        <v>72</v>
      </c>
      <c r="G723" t="s">
        <v>2</v>
      </c>
      <c r="H723" s="2">
        <v>8</v>
      </c>
      <c r="I723" s="3">
        <f t="shared" ca="1" si="3"/>
        <v>6.2548435333521057E-2</v>
      </c>
      <c r="J723" s="4">
        <f ca="1">(Table3[[#This Row],[Price of One Product]]*Table3[[#This Row],[No of Products in one Sale]])-Table3[[#This Row],[Discount]]</f>
        <v>575.9374515646665</v>
      </c>
    </row>
    <row r="724" spans="1:10" x14ac:dyDescent="0.3">
      <c r="A724" t="s">
        <v>747</v>
      </c>
      <c r="B724" t="s">
        <v>52</v>
      </c>
      <c r="C724" s="1">
        <v>44768</v>
      </c>
      <c r="D724" t="s">
        <v>60</v>
      </c>
      <c r="E724" t="s">
        <v>66</v>
      </c>
      <c r="F724">
        <v>65</v>
      </c>
      <c r="G724" t="s">
        <v>0</v>
      </c>
      <c r="H724" s="2">
        <v>4</v>
      </c>
      <c r="I724" s="3">
        <f t="shared" ca="1" si="3"/>
        <v>0.72981430154020976</v>
      </c>
      <c r="J724" s="4">
        <f ca="1">(Table3[[#This Row],[Price of One Product]]*Table3[[#This Row],[No of Products in one Sale]])-Table3[[#This Row],[Discount]]</f>
        <v>259.27018569845978</v>
      </c>
    </row>
    <row r="725" spans="1:10" x14ac:dyDescent="0.3">
      <c r="A725" t="s">
        <v>748</v>
      </c>
      <c r="B725" t="s">
        <v>53</v>
      </c>
      <c r="C725" s="1">
        <v>44803</v>
      </c>
      <c r="D725" t="s">
        <v>61</v>
      </c>
      <c r="E725" t="s">
        <v>67</v>
      </c>
      <c r="F725">
        <v>250</v>
      </c>
      <c r="G725" t="s">
        <v>1</v>
      </c>
      <c r="H725" s="2">
        <v>2</v>
      </c>
      <c r="I725" s="3">
        <f t="shared" ca="1" si="3"/>
        <v>0.35827102582394943</v>
      </c>
      <c r="J725" s="4">
        <f ca="1">(Table3[[#This Row],[Price of One Product]]*Table3[[#This Row],[No of Products in one Sale]])-Table3[[#This Row],[Discount]]</f>
        <v>499.64172897417603</v>
      </c>
    </row>
    <row r="726" spans="1:10" x14ac:dyDescent="0.3">
      <c r="A726" t="s">
        <v>749</v>
      </c>
      <c r="B726" t="s">
        <v>54</v>
      </c>
      <c r="C726" s="1">
        <v>44755</v>
      </c>
      <c r="D726" t="s">
        <v>62</v>
      </c>
      <c r="E726" t="s">
        <v>67</v>
      </c>
      <c r="F726">
        <v>130</v>
      </c>
      <c r="G726" t="s">
        <v>2</v>
      </c>
      <c r="H726" s="2">
        <v>4</v>
      </c>
      <c r="I726" s="3">
        <f t="shared" ca="1" si="3"/>
        <v>0.603479994116907</v>
      </c>
      <c r="J726" s="4">
        <f ca="1">(Table3[[#This Row],[Price of One Product]]*Table3[[#This Row],[No of Products in one Sale]])-Table3[[#This Row],[Discount]]</f>
        <v>519.39652000588308</v>
      </c>
    </row>
    <row r="727" spans="1:10" x14ac:dyDescent="0.3">
      <c r="A727" t="s">
        <v>750</v>
      </c>
      <c r="B727" t="s">
        <v>51</v>
      </c>
      <c r="C727" s="1">
        <v>44789</v>
      </c>
      <c r="D727" t="s">
        <v>59</v>
      </c>
      <c r="E727" t="s">
        <v>67</v>
      </c>
      <c r="F727">
        <v>72</v>
      </c>
      <c r="G727" t="s">
        <v>0</v>
      </c>
      <c r="H727" s="2">
        <v>5</v>
      </c>
      <c r="I727" s="3">
        <f t="shared" ca="1" si="3"/>
        <v>0.8513935168182647</v>
      </c>
      <c r="J727" s="4">
        <f ca="1">(Table3[[#This Row],[Price of One Product]]*Table3[[#This Row],[No of Products in one Sale]])-Table3[[#This Row],[Discount]]</f>
        <v>359.14860648318171</v>
      </c>
    </row>
    <row r="728" spans="1:10" x14ac:dyDescent="0.3">
      <c r="A728" t="s">
        <v>751</v>
      </c>
      <c r="B728" t="s">
        <v>52</v>
      </c>
      <c r="C728" s="1">
        <v>44785</v>
      </c>
      <c r="D728" t="s">
        <v>60</v>
      </c>
      <c r="E728" t="s">
        <v>67</v>
      </c>
      <c r="F728">
        <v>65</v>
      </c>
      <c r="G728" t="s">
        <v>1</v>
      </c>
      <c r="H728" s="2">
        <v>10</v>
      </c>
      <c r="I728" s="3">
        <f t="shared" ca="1" si="3"/>
        <v>9.0128525351338751E-2</v>
      </c>
      <c r="J728" s="4">
        <f ca="1">(Table3[[#This Row],[Price of One Product]]*Table3[[#This Row],[No of Products in one Sale]])-Table3[[#This Row],[Discount]]</f>
        <v>649.90987147464864</v>
      </c>
    </row>
    <row r="729" spans="1:10" x14ac:dyDescent="0.3">
      <c r="A729" t="s">
        <v>752</v>
      </c>
      <c r="B729" t="s">
        <v>53</v>
      </c>
      <c r="C729" s="1">
        <v>44775</v>
      </c>
      <c r="D729" t="s">
        <v>61</v>
      </c>
      <c r="E729" t="s">
        <v>67</v>
      </c>
      <c r="F729">
        <v>250</v>
      </c>
      <c r="G729" t="s">
        <v>2</v>
      </c>
      <c r="H729" s="2">
        <v>2</v>
      </c>
      <c r="I729" s="3">
        <f t="shared" ca="1" si="3"/>
        <v>0.68058537590173795</v>
      </c>
      <c r="J729" s="4">
        <f ca="1">(Table3[[#This Row],[Price of One Product]]*Table3[[#This Row],[No of Products in one Sale]])-Table3[[#This Row],[Discount]]</f>
        <v>499.31941462409827</v>
      </c>
    </row>
    <row r="730" spans="1:10" x14ac:dyDescent="0.3">
      <c r="A730" t="s">
        <v>753</v>
      </c>
      <c r="B730" t="s">
        <v>54</v>
      </c>
      <c r="C730" s="1">
        <v>44807</v>
      </c>
      <c r="D730" t="s">
        <v>62</v>
      </c>
      <c r="E730" t="s">
        <v>67</v>
      </c>
      <c r="F730">
        <v>130</v>
      </c>
      <c r="G730" t="s">
        <v>0</v>
      </c>
      <c r="H730" s="2">
        <v>3</v>
      </c>
      <c r="I730" s="3">
        <f t="shared" ca="1" si="3"/>
        <v>0.87852855482878289</v>
      </c>
      <c r="J730" s="4">
        <f ca="1">(Table3[[#This Row],[Price of One Product]]*Table3[[#This Row],[No of Products in one Sale]])-Table3[[#This Row],[Discount]]</f>
        <v>389.12147144517121</v>
      </c>
    </row>
    <row r="731" spans="1:10" x14ac:dyDescent="0.3">
      <c r="A731" t="s">
        <v>754</v>
      </c>
      <c r="B731" t="s">
        <v>51</v>
      </c>
      <c r="C731" s="1">
        <v>44765</v>
      </c>
      <c r="D731" t="s">
        <v>59</v>
      </c>
      <c r="E731" t="s">
        <v>67</v>
      </c>
      <c r="F731">
        <v>72</v>
      </c>
      <c r="G731" t="s">
        <v>0</v>
      </c>
      <c r="H731" s="2">
        <v>9</v>
      </c>
      <c r="I731" s="3">
        <f t="shared" ca="1" si="3"/>
        <v>0.97014772420460837</v>
      </c>
      <c r="J731" s="4">
        <f ca="1">(Table3[[#This Row],[Price of One Product]]*Table3[[#This Row],[No of Products in one Sale]])-Table3[[#This Row],[Discount]]</f>
        <v>647.02985227579541</v>
      </c>
    </row>
    <row r="732" spans="1:10" x14ac:dyDescent="0.3">
      <c r="A732" t="s">
        <v>755</v>
      </c>
      <c r="B732" t="s">
        <v>52</v>
      </c>
      <c r="C732" s="1">
        <v>44791</v>
      </c>
      <c r="D732" t="s">
        <v>60</v>
      </c>
      <c r="E732" t="s">
        <v>66</v>
      </c>
      <c r="F732">
        <v>65</v>
      </c>
      <c r="G732" t="s">
        <v>1</v>
      </c>
      <c r="H732" s="2">
        <v>11</v>
      </c>
      <c r="I732" s="3">
        <f t="shared" ca="1" si="3"/>
        <v>2.0707036051994754E-2</v>
      </c>
      <c r="J732" s="4">
        <f ca="1">(Table3[[#This Row],[Price of One Product]]*Table3[[#This Row],[No of Products in one Sale]])-Table3[[#This Row],[Discount]]</f>
        <v>714.97929296394796</v>
      </c>
    </row>
    <row r="733" spans="1:10" x14ac:dyDescent="0.3">
      <c r="A733" t="s">
        <v>756</v>
      </c>
      <c r="B733" t="s">
        <v>53</v>
      </c>
      <c r="C733" s="1">
        <v>44777</v>
      </c>
      <c r="D733" t="s">
        <v>61</v>
      </c>
      <c r="E733" t="s">
        <v>66</v>
      </c>
      <c r="F733">
        <v>250</v>
      </c>
      <c r="G733" t="s">
        <v>2</v>
      </c>
      <c r="H733" s="2">
        <v>1</v>
      </c>
      <c r="I733" s="3">
        <f t="shared" ca="1" si="3"/>
        <v>0.21246779978688879</v>
      </c>
      <c r="J733" s="4">
        <f ca="1">(Table3[[#This Row],[Price of One Product]]*Table3[[#This Row],[No of Products in one Sale]])-Table3[[#This Row],[Discount]]</f>
        <v>249.78753220021312</v>
      </c>
    </row>
    <row r="734" spans="1:10" x14ac:dyDescent="0.3">
      <c r="A734" t="s">
        <v>757</v>
      </c>
      <c r="B734" t="s">
        <v>54</v>
      </c>
      <c r="C734" s="1">
        <v>44806</v>
      </c>
      <c r="D734" t="s">
        <v>62</v>
      </c>
      <c r="E734" t="s">
        <v>66</v>
      </c>
      <c r="F734">
        <v>130</v>
      </c>
      <c r="G734" t="s">
        <v>0</v>
      </c>
      <c r="H734" s="2">
        <v>5</v>
      </c>
      <c r="I734" s="3">
        <f t="shared" ca="1" si="3"/>
        <v>0.19943721070171727</v>
      </c>
      <c r="J734" s="4">
        <f ca="1">(Table3[[#This Row],[Price of One Product]]*Table3[[#This Row],[No of Products in one Sale]])-Table3[[#This Row],[Discount]]</f>
        <v>649.80056278929828</v>
      </c>
    </row>
    <row r="735" spans="1:10" x14ac:dyDescent="0.3">
      <c r="A735" t="s">
        <v>758</v>
      </c>
      <c r="B735" t="s">
        <v>51</v>
      </c>
      <c r="C735" s="1">
        <v>44796</v>
      </c>
      <c r="D735" t="s">
        <v>59</v>
      </c>
      <c r="E735" t="s">
        <v>67</v>
      </c>
      <c r="F735">
        <v>72</v>
      </c>
      <c r="G735" t="s">
        <v>1</v>
      </c>
      <c r="H735" s="2">
        <v>11</v>
      </c>
      <c r="I735" s="3">
        <f t="shared" ca="1" si="3"/>
        <v>0.31064061685189925</v>
      </c>
      <c r="J735" s="4">
        <f ca="1">(Table3[[#This Row],[Price of One Product]]*Table3[[#This Row],[No of Products in one Sale]])-Table3[[#This Row],[Discount]]</f>
        <v>791.68935938314814</v>
      </c>
    </row>
    <row r="736" spans="1:10" x14ac:dyDescent="0.3">
      <c r="A736" t="s">
        <v>759</v>
      </c>
      <c r="B736" t="s">
        <v>52</v>
      </c>
      <c r="C736" s="1">
        <v>44760</v>
      </c>
      <c r="D736" t="s">
        <v>60</v>
      </c>
      <c r="E736" t="s">
        <v>67</v>
      </c>
      <c r="F736">
        <v>65</v>
      </c>
      <c r="G736" t="s">
        <v>2</v>
      </c>
      <c r="H736" s="2">
        <v>10</v>
      </c>
      <c r="I736" s="3">
        <f t="shared" ca="1" si="3"/>
        <v>0.64921970116148864</v>
      </c>
      <c r="J736" s="4">
        <f ca="1">(Table3[[#This Row],[Price of One Product]]*Table3[[#This Row],[No of Products in one Sale]])-Table3[[#This Row],[Discount]]</f>
        <v>649.35078029883846</v>
      </c>
    </row>
    <row r="737" spans="1:10" x14ac:dyDescent="0.3">
      <c r="A737" t="s">
        <v>760</v>
      </c>
      <c r="B737" t="s">
        <v>53</v>
      </c>
      <c r="C737" s="1">
        <v>44759</v>
      </c>
      <c r="D737" t="s">
        <v>61</v>
      </c>
      <c r="E737" t="s">
        <v>67</v>
      </c>
      <c r="F737">
        <v>250</v>
      </c>
      <c r="G737" t="s">
        <v>0</v>
      </c>
      <c r="H737" s="2">
        <v>2</v>
      </c>
      <c r="I737" s="3">
        <f t="shared" ca="1" si="3"/>
        <v>0.72593908967444554</v>
      </c>
      <c r="J737" s="4">
        <f ca="1">(Table3[[#This Row],[Price of One Product]]*Table3[[#This Row],[No of Products in one Sale]])-Table3[[#This Row],[Discount]]</f>
        <v>499.27406091032555</v>
      </c>
    </row>
    <row r="738" spans="1:10" x14ac:dyDescent="0.3">
      <c r="A738" t="s">
        <v>761</v>
      </c>
      <c r="B738" t="s">
        <v>54</v>
      </c>
      <c r="C738" s="1">
        <v>44795</v>
      </c>
      <c r="D738" t="s">
        <v>62</v>
      </c>
      <c r="E738" t="s">
        <v>67</v>
      </c>
      <c r="F738">
        <v>130</v>
      </c>
      <c r="G738" t="s">
        <v>1</v>
      </c>
      <c r="H738" s="2">
        <v>4</v>
      </c>
      <c r="I738" s="3">
        <f t="shared" ca="1" si="3"/>
        <v>0.97324358424798174</v>
      </c>
      <c r="J738" s="4">
        <f ca="1">(Table3[[#This Row],[Price of One Product]]*Table3[[#This Row],[No of Products in one Sale]])-Table3[[#This Row],[Discount]]</f>
        <v>519.02675641575206</v>
      </c>
    </row>
    <row r="739" spans="1:10" x14ac:dyDescent="0.3">
      <c r="A739" t="s">
        <v>762</v>
      </c>
      <c r="B739" t="s">
        <v>55</v>
      </c>
      <c r="C739" s="1">
        <v>44808</v>
      </c>
      <c r="D739" t="s">
        <v>63</v>
      </c>
      <c r="E739" t="s">
        <v>67</v>
      </c>
      <c r="F739">
        <v>60</v>
      </c>
      <c r="G739" t="s">
        <v>2</v>
      </c>
      <c r="H739" s="2">
        <v>4</v>
      </c>
      <c r="I739" s="3">
        <f t="shared" ca="1" si="3"/>
        <v>0.45026215190002394</v>
      </c>
      <c r="J739" s="4">
        <f ca="1">(Table3[[#This Row],[Price of One Product]]*Table3[[#This Row],[No of Products in one Sale]])-Table3[[#This Row],[Discount]]</f>
        <v>239.54973784809997</v>
      </c>
    </row>
    <row r="740" spans="1:10" x14ac:dyDescent="0.3">
      <c r="A740" t="s">
        <v>763</v>
      </c>
      <c r="B740" t="s">
        <v>51</v>
      </c>
      <c r="C740" s="1">
        <v>44756</v>
      </c>
      <c r="D740" t="s">
        <v>59</v>
      </c>
      <c r="E740" t="s">
        <v>67</v>
      </c>
      <c r="F740">
        <v>72</v>
      </c>
      <c r="G740" t="s">
        <v>0</v>
      </c>
      <c r="H740" s="2">
        <v>12</v>
      </c>
      <c r="I740" s="3">
        <f t="shared" ca="1" si="3"/>
        <v>3.804197147278443E-2</v>
      </c>
      <c r="J740" s="4">
        <f ca="1">(Table3[[#This Row],[Price of One Product]]*Table3[[#This Row],[No of Products in one Sale]])-Table3[[#This Row],[Discount]]</f>
        <v>863.96195802852719</v>
      </c>
    </row>
    <row r="741" spans="1:10" x14ac:dyDescent="0.3">
      <c r="A741" t="s">
        <v>764</v>
      </c>
      <c r="B741" t="s">
        <v>52</v>
      </c>
      <c r="C741" s="1">
        <v>44801</v>
      </c>
      <c r="D741" t="s">
        <v>60</v>
      </c>
      <c r="E741" t="s">
        <v>67</v>
      </c>
      <c r="F741">
        <v>65</v>
      </c>
      <c r="G741" t="s">
        <v>1</v>
      </c>
      <c r="H741" s="2">
        <v>5</v>
      </c>
      <c r="I741" s="3">
        <f t="shared" ca="1" si="3"/>
        <v>0.43383326335766592</v>
      </c>
      <c r="J741" s="4">
        <f ca="1">(Table3[[#This Row],[Price of One Product]]*Table3[[#This Row],[No of Products in one Sale]])-Table3[[#This Row],[Discount]]</f>
        <v>324.56616673664234</v>
      </c>
    </row>
    <row r="742" spans="1:10" x14ac:dyDescent="0.3">
      <c r="A742" t="s">
        <v>765</v>
      </c>
      <c r="B742" t="s">
        <v>53</v>
      </c>
      <c r="C742" s="1">
        <v>44806</v>
      </c>
      <c r="D742" t="s">
        <v>61</v>
      </c>
      <c r="E742" t="s">
        <v>66</v>
      </c>
      <c r="F742">
        <v>250</v>
      </c>
      <c r="G742" t="s">
        <v>2</v>
      </c>
      <c r="H742" s="2">
        <v>3</v>
      </c>
      <c r="I742" s="3">
        <f t="shared" ca="1" si="3"/>
        <v>0.52523957966066004</v>
      </c>
      <c r="J742" s="4">
        <f ca="1">(Table3[[#This Row],[Price of One Product]]*Table3[[#This Row],[No of Products in one Sale]])-Table3[[#This Row],[Discount]]</f>
        <v>749.47476042033929</v>
      </c>
    </row>
    <row r="743" spans="1:10" x14ac:dyDescent="0.3">
      <c r="A743" t="s">
        <v>766</v>
      </c>
      <c r="B743" t="s">
        <v>54</v>
      </c>
      <c r="C743" s="1">
        <v>44794</v>
      </c>
      <c r="D743" t="s">
        <v>62</v>
      </c>
      <c r="E743" t="s">
        <v>66</v>
      </c>
      <c r="F743">
        <v>130</v>
      </c>
      <c r="G743" t="s">
        <v>0</v>
      </c>
      <c r="H743" s="2">
        <v>2</v>
      </c>
      <c r="I743" s="3">
        <f t="shared" ca="1" si="3"/>
        <v>8.748377862871437E-2</v>
      </c>
      <c r="J743" s="4">
        <f ca="1">(Table3[[#This Row],[Price of One Product]]*Table3[[#This Row],[No of Products in one Sale]])-Table3[[#This Row],[Discount]]</f>
        <v>259.91251622137128</v>
      </c>
    </row>
    <row r="744" spans="1:10" x14ac:dyDescent="0.3">
      <c r="A744" t="s">
        <v>767</v>
      </c>
      <c r="B744" t="s">
        <v>51</v>
      </c>
      <c r="C744" s="1">
        <v>44800</v>
      </c>
      <c r="D744" t="s">
        <v>59</v>
      </c>
      <c r="E744" t="s">
        <v>66</v>
      </c>
      <c r="F744">
        <v>72</v>
      </c>
      <c r="G744" t="s">
        <v>1</v>
      </c>
      <c r="H744" s="2">
        <v>7</v>
      </c>
      <c r="I744" s="3">
        <f t="shared" ca="1" si="3"/>
        <v>0.69784764516142495</v>
      </c>
      <c r="J744" s="4">
        <f ca="1">(Table3[[#This Row],[Price of One Product]]*Table3[[#This Row],[No of Products in one Sale]])-Table3[[#This Row],[Discount]]</f>
        <v>503.3021523548386</v>
      </c>
    </row>
    <row r="745" spans="1:10" x14ac:dyDescent="0.3">
      <c r="A745" t="s">
        <v>768</v>
      </c>
      <c r="B745" t="s">
        <v>52</v>
      </c>
      <c r="C745" s="1">
        <v>44789</v>
      </c>
      <c r="D745" t="s">
        <v>60</v>
      </c>
      <c r="E745" t="s">
        <v>67</v>
      </c>
      <c r="F745">
        <v>65</v>
      </c>
      <c r="G745" t="s">
        <v>2</v>
      </c>
      <c r="H745" s="2">
        <v>12</v>
      </c>
      <c r="I745" s="3">
        <f t="shared" ca="1" si="3"/>
        <v>0.88820680465567636</v>
      </c>
      <c r="J745" s="4">
        <f ca="1">(Table3[[#This Row],[Price of One Product]]*Table3[[#This Row],[No of Products in one Sale]])-Table3[[#This Row],[Discount]]</f>
        <v>779.11179319534438</v>
      </c>
    </row>
    <row r="746" spans="1:10" x14ac:dyDescent="0.3">
      <c r="A746" t="s">
        <v>769</v>
      </c>
      <c r="B746" t="s">
        <v>53</v>
      </c>
      <c r="C746" s="1">
        <v>44802</v>
      </c>
      <c r="D746" t="s">
        <v>61</v>
      </c>
      <c r="E746" t="s">
        <v>67</v>
      </c>
      <c r="F746">
        <v>250</v>
      </c>
      <c r="G746" t="s">
        <v>0</v>
      </c>
      <c r="H746" s="2">
        <v>3</v>
      </c>
      <c r="I746" s="3">
        <f t="shared" ca="1" si="3"/>
        <v>0.20792381691803075</v>
      </c>
      <c r="J746" s="4">
        <f ca="1">(Table3[[#This Row],[Price of One Product]]*Table3[[#This Row],[No of Products in one Sale]])-Table3[[#This Row],[Discount]]</f>
        <v>749.79207618308192</v>
      </c>
    </row>
    <row r="747" spans="1:10" x14ac:dyDescent="0.3">
      <c r="A747" t="s">
        <v>770</v>
      </c>
      <c r="B747" t="s">
        <v>54</v>
      </c>
      <c r="C747" s="1">
        <v>44793</v>
      </c>
      <c r="D747" t="s">
        <v>62</v>
      </c>
      <c r="E747" t="s">
        <v>67</v>
      </c>
      <c r="F747">
        <v>130</v>
      </c>
      <c r="G747" t="s">
        <v>1</v>
      </c>
      <c r="H747" s="2">
        <v>4</v>
      </c>
      <c r="I747" s="3">
        <f t="shared" ca="1" si="3"/>
        <v>3.4860015962082991E-2</v>
      </c>
      <c r="J747" s="4">
        <f ca="1">(Table3[[#This Row],[Price of One Product]]*Table3[[#This Row],[No of Products in one Sale]])-Table3[[#This Row],[Discount]]</f>
        <v>519.96513998403793</v>
      </c>
    </row>
    <row r="748" spans="1:10" x14ac:dyDescent="0.3">
      <c r="A748" t="s">
        <v>771</v>
      </c>
      <c r="B748" t="s">
        <v>55</v>
      </c>
      <c r="C748" s="1">
        <v>44793</v>
      </c>
      <c r="D748" t="s">
        <v>63</v>
      </c>
      <c r="E748" t="s">
        <v>67</v>
      </c>
      <c r="F748">
        <v>60</v>
      </c>
      <c r="G748" t="s">
        <v>2</v>
      </c>
      <c r="H748" s="2">
        <v>8</v>
      </c>
      <c r="I748" s="3">
        <f t="shared" ca="1" si="3"/>
        <v>0.28530119111813801</v>
      </c>
      <c r="J748" s="4">
        <f ca="1">(Table3[[#This Row],[Price of One Product]]*Table3[[#This Row],[No of Products in one Sale]])-Table3[[#This Row],[Discount]]</f>
        <v>479.71469880888185</v>
      </c>
    </row>
    <row r="749" spans="1:10" x14ac:dyDescent="0.3">
      <c r="A749" t="s">
        <v>772</v>
      </c>
      <c r="B749" t="s">
        <v>56</v>
      </c>
      <c r="C749" s="1">
        <v>44785</v>
      </c>
      <c r="D749" t="s">
        <v>64</v>
      </c>
      <c r="E749" t="s">
        <v>67</v>
      </c>
      <c r="F749">
        <v>95</v>
      </c>
      <c r="G749" t="s">
        <v>0</v>
      </c>
      <c r="H749" s="2">
        <v>3</v>
      </c>
      <c r="I749" s="3">
        <f t="shared" ca="1" si="3"/>
        <v>0.67959924237264802</v>
      </c>
      <c r="J749" s="4">
        <f ca="1">(Table3[[#This Row],[Price of One Product]]*Table3[[#This Row],[No of Products in one Sale]])-Table3[[#This Row],[Discount]]</f>
        <v>284.32040075762734</v>
      </c>
    </row>
    <row r="750" spans="1:10" x14ac:dyDescent="0.3">
      <c r="A750" t="s">
        <v>773</v>
      </c>
      <c r="B750" t="s">
        <v>51</v>
      </c>
      <c r="C750" s="1">
        <v>44778</v>
      </c>
      <c r="D750" t="s">
        <v>59</v>
      </c>
      <c r="E750" t="s">
        <v>67</v>
      </c>
      <c r="F750">
        <v>72</v>
      </c>
      <c r="G750" t="s">
        <v>1</v>
      </c>
      <c r="H750" s="2">
        <v>8</v>
      </c>
      <c r="I750" s="3">
        <f t="shared" ca="1" si="3"/>
        <v>0.26252552728514078</v>
      </c>
      <c r="J750" s="4">
        <f ca="1">(Table3[[#This Row],[Price of One Product]]*Table3[[#This Row],[No of Products in one Sale]])-Table3[[#This Row],[Discount]]</f>
        <v>575.73747447271489</v>
      </c>
    </row>
    <row r="751" spans="1:10" x14ac:dyDescent="0.3">
      <c r="A751" t="s">
        <v>774</v>
      </c>
      <c r="B751" t="s">
        <v>52</v>
      </c>
      <c r="C751" s="1">
        <v>44764</v>
      </c>
      <c r="D751" t="s">
        <v>60</v>
      </c>
      <c r="E751" t="s">
        <v>67</v>
      </c>
      <c r="F751">
        <v>65</v>
      </c>
      <c r="G751" t="s">
        <v>2</v>
      </c>
      <c r="H751" s="2">
        <v>12</v>
      </c>
      <c r="I751" s="3">
        <f t="shared" ca="1" si="3"/>
        <v>0.68444436104981021</v>
      </c>
      <c r="J751" s="4">
        <f ca="1">(Table3[[#This Row],[Price of One Product]]*Table3[[#This Row],[No of Products in one Sale]])-Table3[[#This Row],[Discount]]</f>
        <v>779.31555563895017</v>
      </c>
    </row>
    <row r="752" spans="1:10" x14ac:dyDescent="0.3">
      <c r="A752" t="s">
        <v>775</v>
      </c>
      <c r="B752" t="s">
        <v>53</v>
      </c>
      <c r="C752" s="1">
        <v>44769</v>
      </c>
      <c r="D752" t="s">
        <v>61</v>
      </c>
      <c r="E752" t="s">
        <v>66</v>
      </c>
      <c r="F752">
        <v>250</v>
      </c>
      <c r="G752" t="s">
        <v>0</v>
      </c>
      <c r="H752" s="2">
        <v>3</v>
      </c>
      <c r="I752" s="3">
        <f t="shared" ca="1" si="3"/>
        <v>0.70869103793584665</v>
      </c>
      <c r="J752" s="4">
        <f ca="1">(Table3[[#This Row],[Price of One Product]]*Table3[[#This Row],[No of Products in one Sale]])-Table3[[#This Row],[Discount]]</f>
        <v>749.29130896206414</v>
      </c>
    </row>
    <row r="753" spans="1:10" x14ac:dyDescent="0.3">
      <c r="A753" t="s">
        <v>776</v>
      </c>
      <c r="B753" t="s">
        <v>54</v>
      </c>
      <c r="C753" s="1">
        <v>44794</v>
      </c>
      <c r="D753" t="s">
        <v>62</v>
      </c>
      <c r="E753" t="s">
        <v>66</v>
      </c>
      <c r="F753">
        <v>130</v>
      </c>
      <c r="G753" t="s">
        <v>1</v>
      </c>
      <c r="H753" s="2">
        <v>4</v>
      </c>
      <c r="I753" s="3">
        <f t="shared" ca="1" si="3"/>
        <v>0.5923754931635371</v>
      </c>
      <c r="J753" s="4">
        <f ca="1">(Table3[[#This Row],[Price of One Product]]*Table3[[#This Row],[No of Products in one Sale]])-Table3[[#This Row],[Discount]]</f>
        <v>519.40762450683644</v>
      </c>
    </row>
    <row r="754" spans="1:10" x14ac:dyDescent="0.3">
      <c r="A754" t="s">
        <v>777</v>
      </c>
      <c r="B754" t="s">
        <v>51</v>
      </c>
      <c r="C754" s="1">
        <v>44766</v>
      </c>
      <c r="D754" t="s">
        <v>59</v>
      </c>
      <c r="E754" t="s">
        <v>66</v>
      </c>
      <c r="F754">
        <v>72</v>
      </c>
      <c r="G754" t="s">
        <v>2</v>
      </c>
      <c r="H754" s="2">
        <v>11</v>
      </c>
      <c r="I754" s="3">
        <f t="shared" ca="1" si="3"/>
        <v>0.34789776563176378</v>
      </c>
      <c r="J754" s="4">
        <f ca="1">(Table3[[#This Row],[Price of One Product]]*Table3[[#This Row],[No of Products in one Sale]])-Table3[[#This Row],[Discount]]</f>
        <v>791.65210223436827</v>
      </c>
    </row>
    <row r="755" spans="1:10" x14ac:dyDescent="0.3">
      <c r="A755" t="s">
        <v>778</v>
      </c>
      <c r="B755" t="s">
        <v>52</v>
      </c>
      <c r="C755" s="1">
        <v>44772</v>
      </c>
      <c r="D755" t="s">
        <v>60</v>
      </c>
      <c r="E755" t="s">
        <v>67</v>
      </c>
      <c r="F755">
        <v>65</v>
      </c>
      <c r="G755" t="s">
        <v>0</v>
      </c>
      <c r="H755" s="2">
        <v>9</v>
      </c>
      <c r="I755" s="3">
        <f t="shared" ca="1" si="3"/>
        <v>0.92857252697596382</v>
      </c>
      <c r="J755" s="4">
        <f ca="1">(Table3[[#This Row],[Price of One Product]]*Table3[[#This Row],[No of Products in one Sale]])-Table3[[#This Row],[Discount]]</f>
        <v>584.07142747302407</v>
      </c>
    </row>
    <row r="756" spans="1:10" x14ac:dyDescent="0.3">
      <c r="A756" t="s">
        <v>779</v>
      </c>
      <c r="B756" t="s">
        <v>53</v>
      </c>
      <c r="C756" s="1">
        <v>44787</v>
      </c>
      <c r="D756" t="s">
        <v>61</v>
      </c>
      <c r="E756" t="s">
        <v>67</v>
      </c>
      <c r="F756">
        <v>250</v>
      </c>
      <c r="G756" t="s">
        <v>1</v>
      </c>
      <c r="H756" s="2">
        <v>3</v>
      </c>
      <c r="I756" s="3">
        <f t="shared" ca="1" si="3"/>
        <v>0.46543437911898966</v>
      </c>
      <c r="J756" s="4">
        <f ca="1">(Table3[[#This Row],[Price of One Product]]*Table3[[#This Row],[No of Products in one Sale]])-Table3[[#This Row],[Discount]]</f>
        <v>749.53456562088104</v>
      </c>
    </row>
    <row r="757" spans="1:10" x14ac:dyDescent="0.3">
      <c r="A757" t="s">
        <v>780</v>
      </c>
      <c r="B757" t="s">
        <v>54</v>
      </c>
      <c r="C757" s="1">
        <v>44755</v>
      </c>
      <c r="D757" t="s">
        <v>62</v>
      </c>
      <c r="E757" t="s">
        <v>67</v>
      </c>
      <c r="F757">
        <v>130</v>
      </c>
      <c r="G757" t="s">
        <v>2</v>
      </c>
      <c r="H757" s="2">
        <v>3</v>
      </c>
      <c r="I757" s="3">
        <f t="shared" ca="1" si="3"/>
        <v>0.9481677839407292</v>
      </c>
      <c r="J757" s="4">
        <f ca="1">(Table3[[#This Row],[Price of One Product]]*Table3[[#This Row],[No of Products in one Sale]])-Table3[[#This Row],[Discount]]</f>
        <v>389.05183221605927</v>
      </c>
    </row>
    <row r="758" spans="1:10" x14ac:dyDescent="0.3">
      <c r="A758" t="s">
        <v>781</v>
      </c>
      <c r="B758" t="s">
        <v>55</v>
      </c>
      <c r="C758" s="1">
        <v>44785</v>
      </c>
      <c r="D758" t="s">
        <v>63</v>
      </c>
      <c r="E758" t="s">
        <v>67</v>
      </c>
      <c r="F758">
        <v>60</v>
      </c>
      <c r="G758" t="s">
        <v>0</v>
      </c>
      <c r="H758" s="2">
        <v>13</v>
      </c>
      <c r="I758" s="3">
        <f t="shared" ref="I758:I795" ca="1" si="4">RAND()</f>
        <v>0.90841146365143077</v>
      </c>
      <c r="J758" s="4">
        <f ca="1">(Table3[[#This Row],[Price of One Product]]*Table3[[#This Row],[No of Products in one Sale]])-Table3[[#This Row],[Discount]]</f>
        <v>779.09158853634858</v>
      </c>
    </row>
    <row r="759" spans="1:10" x14ac:dyDescent="0.3">
      <c r="A759" t="s">
        <v>782</v>
      </c>
      <c r="B759" t="s">
        <v>51</v>
      </c>
      <c r="C759" s="1">
        <v>44761</v>
      </c>
      <c r="D759" t="s">
        <v>59</v>
      </c>
      <c r="E759" t="s">
        <v>67</v>
      </c>
      <c r="F759">
        <v>72</v>
      </c>
      <c r="G759" t="s">
        <v>1</v>
      </c>
      <c r="H759" s="2">
        <v>12</v>
      </c>
      <c r="I759" s="3">
        <f t="shared" ca="1" si="4"/>
        <v>0.15042293580198551</v>
      </c>
      <c r="J759" s="4">
        <f ca="1">(Table3[[#This Row],[Price of One Product]]*Table3[[#This Row],[No of Products in one Sale]])-Table3[[#This Row],[Discount]]</f>
        <v>863.849577064198</v>
      </c>
    </row>
    <row r="760" spans="1:10" x14ac:dyDescent="0.3">
      <c r="A760" t="s">
        <v>783</v>
      </c>
      <c r="B760" t="s">
        <v>52</v>
      </c>
      <c r="C760" s="1">
        <v>44770</v>
      </c>
      <c r="D760" t="s">
        <v>60</v>
      </c>
      <c r="E760" t="s">
        <v>67</v>
      </c>
      <c r="F760">
        <v>65</v>
      </c>
      <c r="G760" t="s">
        <v>2</v>
      </c>
      <c r="H760" s="2">
        <v>5</v>
      </c>
      <c r="I760" s="3">
        <f t="shared" ca="1" si="4"/>
        <v>0.47737865101862065</v>
      </c>
      <c r="J760" s="4">
        <f ca="1">(Table3[[#This Row],[Price of One Product]]*Table3[[#This Row],[No of Products in one Sale]])-Table3[[#This Row],[Discount]]</f>
        <v>324.52262134898137</v>
      </c>
    </row>
    <row r="761" spans="1:10" x14ac:dyDescent="0.3">
      <c r="A761" t="s">
        <v>784</v>
      </c>
      <c r="B761" t="s">
        <v>53</v>
      </c>
      <c r="C761" s="1">
        <v>44769</v>
      </c>
      <c r="D761" t="s">
        <v>61</v>
      </c>
      <c r="E761" t="s">
        <v>66</v>
      </c>
      <c r="F761">
        <v>250</v>
      </c>
      <c r="G761" t="s">
        <v>0</v>
      </c>
      <c r="H761" s="2">
        <v>3</v>
      </c>
      <c r="I761" s="3">
        <f t="shared" ca="1" si="4"/>
        <v>0.28908851219607845</v>
      </c>
      <c r="J761" s="4">
        <f ca="1">(Table3[[#This Row],[Price of One Product]]*Table3[[#This Row],[No of Products in one Sale]])-Table3[[#This Row],[Discount]]</f>
        <v>749.71091148780397</v>
      </c>
    </row>
    <row r="762" spans="1:10" x14ac:dyDescent="0.3">
      <c r="A762" t="s">
        <v>785</v>
      </c>
      <c r="B762" t="s">
        <v>54</v>
      </c>
      <c r="C762" s="1">
        <v>44785</v>
      </c>
      <c r="D762" t="s">
        <v>62</v>
      </c>
      <c r="E762" t="s">
        <v>67</v>
      </c>
      <c r="F762">
        <v>130</v>
      </c>
      <c r="G762" t="s">
        <v>1</v>
      </c>
      <c r="H762" s="2">
        <v>5</v>
      </c>
      <c r="I762" s="3">
        <f t="shared" ca="1" si="4"/>
        <v>0.54188084143339899</v>
      </c>
      <c r="J762" s="4">
        <f ca="1">(Table3[[#This Row],[Price of One Product]]*Table3[[#This Row],[No of Products in one Sale]])-Table3[[#This Row],[Discount]]</f>
        <v>649.45811915856655</v>
      </c>
    </row>
    <row r="763" spans="1:10" x14ac:dyDescent="0.3">
      <c r="A763" t="s">
        <v>786</v>
      </c>
      <c r="B763" t="s">
        <v>51</v>
      </c>
      <c r="C763" s="1">
        <v>44771</v>
      </c>
      <c r="D763" t="s">
        <v>59</v>
      </c>
      <c r="E763" t="s">
        <v>66</v>
      </c>
      <c r="F763">
        <v>72</v>
      </c>
      <c r="G763" t="s">
        <v>2</v>
      </c>
      <c r="H763" s="2">
        <v>8</v>
      </c>
      <c r="I763" s="3">
        <f t="shared" ca="1" si="4"/>
        <v>0.89916685626020265</v>
      </c>
      <c r="J763" s="4">
        <f ca="1">(Table3[[#This Row],[Price of One Product]]*Table3[[#This Row],[No of Products in one Sale]])-Table3[[#This Row],[Discount]]</f>
        <v>575.10083314373981</v>
      </c>
    </row>
    <row r="764" spans="1:10" x14ac:dyDescent="0.3">
      <c r="A764" t="s">
        <v>787</v>
      </c>
      <c r="B764" t="s">
        <v>52</v>
      </c>
      <c r="C764" s="1">
        <v>44776</v>
      </c>
      <c r="D764" t="s">
        <v>60</v>
      </c>
      <c r="E764" t="s">
        <v>67</v>
      </c>
      <c r="F764">
        <v>65</v>
      </c>
      <c r="G764" t="s">
        <v>0</v>
      </c>
      <c r="H764" s="2">
        <v>4</v>
      </c>
      <c r="I764" s="3">
        <f t="shared" ca="1" si="4"/>
        <v>0.81833122436434169</v>
      </c>
      <c r="J764" s="4">
        <f ca="1">(Table3[[#This Row],[Price of One Product]]*Table3[[#This Row],[No of Products in one Sale]])-Table3[[#This Row],[Discount]]</f>
        <v>259.18166877563567</v>
      </c>
    </row>
    <row r="765" spans="1:10" x14ac:dyDescent="0.3">
      <c r="A765" t="s">
        <v>788</v>
      </c>
      <c r="B765" t="s">
        <v>53</v>
      </c>
      <c r="C765" s="1">
        <v>44782</v>
      </c>
      <c r="D765" t="s">
        <v>61</v>
      </c>
      <c r="E765" t="s">
        <v>66</v>
      </c>
      <c r="F765">
        <v>250</v>
      </c>
      <c r="G765" t="s">
        <v>1</v>
      </c>
      <c r="H765" s="2">
        <v>3</v>
      </c>
      <c r="I765" s="3">
        <f t="shared" ca="1" si="4"/>
        <v>0.92710021391653363</v>
      </c>
      <c r="J765" s="4">
        <f ca="1">(Table3[[#This Row],[Price of One Product]]*Table3[[#This Row],[No of Products in one Sale]])-Table3[[#This Row],[Discount]]</f>
        <v>749.07289978608344</v>
      </c>
    </row>
    <row r="766" spans="1:10" x14ac:dyDescent="0.3">
      <c r="A766" t="s">
        <v>789</v>
      </c>
      <c r="B766" t="s">
        <v>54</v>
      </c>
      <c r="C766" s="1">
        <v>44765</v>
      </c>
      <c r="D766" t="s">
        <v>62</v>
      </c>
      <c r="E766" t="s">
        <v>67</v>
      </c>
      <c r="F766">
        <v>130</v>
      </c>
      <c r="G766" t="s">
        <v>2</v>
      </c>
      <c r="H766" s="2">
        <v>7</v>
      </c>
      <c r="I766" s="3">
        <f t="shared" ca="1" si="4"/>
        <v>0.90119329052024177</v>
      </c>
      <c r="J766" s="4">
        <f ca="1">(Table3[[#This Row],[Price of One Product]]*Table3[[#This Row],[No of Products in one Sale]])-Table3[[#This Row],[Discount]]</f>
        <v>909.09880670947973</v>
      </c>
    </row>
    <row r="767" spans="1:10" x14ac:dyDescent="0.3">
      <c r="A767" t="s">
        <v>790</v>
      </c>
      <c r="B767" t="s">
        <v>55</v>
      </c>
      <c r="C767" s="1">
        <v>44778</v>
      </c>
      <c r="D767" t="s">
        <v>63</v>
      </c>
      <c r="E767" t="s">
        <v>66</v>
      </c>
      <c r="F767">
        <v>60</v>
      </c>
      <c r="G767" t="s">
        <v>0</v>
      </c>
      <c r="H767" s="2">
        <v>7</v>
      </c>
      <c r="I767" s="3">
        <f t="shared" ca="1" si="4"/>
        <v>0.772989428366884</v>
      </c>
      <c r="J767" s="4">
        <f ca="1">(Table3[[#This Row],[Price of One Product]]*Table3[[#This Row],[No of Products in one Sale]])-Table3[[#This Row],[Discount]]</f>
        <v>419.22701057163312</v>
      </c>
    </row>
    <row r="768" spans="1:10" x14ac:dyDescent="0.3">
      <c r="A768" t="s">
        <v>791</v>
      </c>
      <c r="B768" t="s">
        <v>56</v>
      </c>
      <c r="C768" s="1">
        <v>44774</v>
      </c>
      <c r="D768" t="s">
        <v>64</v>
      </c>
      <c r="E768" t="s">
        <v>67</v>
      </c>
      <c r="F768">
        <v>95</v>
      </c>
      <c r="G768" t="s">
        <v>1</v>
      </c>
      <c r="H768" s="2">
        <v>7</v>
      </c>
      <c r="I768" s="3">
        <f t="shared" ca="1" si="4"/>
        <v>2.6617013607437734E-2</v>
      </c>
      <c r="J768" s="4">
        <f ca="1">(Table3[[#This Row],[Price of One Product]]*Table3[[#This Row],[No of Products in one Sale]])-Table3[[#This Row],[Discount]]</f>
        <v>664.97338298639261</v>
      </c>
    </row>
    <row r="769" spans="1:10" x14ac:dyDescent="0.3">
      <c r="A769" t="s">
        <v>792</v>
      </c>
      <c r="B769" t="s">
        <v>51</v>
      </c>
      <c r="C769" s="1">
        <v>44803</v>
      </c>
      <c r="D769" t="s">
        <v>59</v>
      </c>
      <c r="E769" t="s">
        <v>66</v>
      </c>
      <c r="F769">
        <v>72</v>
      </c>
      <c r="G769" t="s">
        <v>2</v>
      </c>
      <c r="H769" s="2">
        <v>5</v>
      </c>
      <c r="I769" s="3">
        <f t="shared" ca="1" si="4"/>
        <v>0.47250309767204135</v>
      </c>
      <c r="J769" s="4">
        <f ca="1">(Table3[[#This Row],[Price of One Product]]*Table3[[#This Row],[No of Products in one Sale]])-Table3[[#This Row],[Discount]]</f>
        <v>359.52749690232798</v>
      </c>
    </row>
    <row r="770" spans="1:10" x14ac:dyDescent="0.3">
      <c r="A770" t="s">
        <v>793</v>
      </c>
      <c r="B770" t="s">
        <v>52</v>
      </c>
      <c r="C770" s="1">
        <v>44782</v>
      </c>
      <c r="D770" t="s">
        <v>60</v>
      </c>
      <c r="E770" t="s">
        <v>67</v>
      </c>
      <c r="F770">
        <v>65</v>
      </c>
      <c r="G770" t="s">
        <v>0</v>
      </c>
      <c r="H770" s="2">
        <v>6</v>
      </c>
      <c r="I770" s="3">
        <f t="shared" ca="1" si="4"/>
        <v>0.92589127949380901</v>
      </c>
      <c r="J770" s="4">
        <f ca="1">(Table3[[#This Row],[Price of One Product]]*Table3[[#This Row],[No of Products in one Sale]])-Table3[[#This Row],[Discount]]</f>
        <v>389.07410872050622</v>
      </c>
    </row>
    <row r="771" spans="1:10" x14ac:dyDescent="0.3">
      <c r="A771" t="s">
        <v>794</v>
      </c>
      <c r="B771" t="s">
        <v>53</v>
      </c>
      <c r="C771" s="1">
        <v>44774</v>
      </c>
      <c r="D771" t="s">
        <v>61</v>
      </c>
      <c r="E771" t="s">
        <v>66</v>
      </c>
      <c r="F771">
        <v>250</v>
      </c>
      <c r="G771" t="s">
        <v>1</v>
      </c>
      <c r="H771" s="2">
        <v>2</v>
      </c>
      <c r="I771" s="3">
        <f t="shared" ca="1" si="4"/>
        <v>0.33906287417471803</v>
      </c>
      <c r="J771" s="4">
        <f ca="1">(Table3[[#This Row],[Price of One Product]]*Table3[[#This Row],[No of Products in one Sale]])-Table3[[#This Row],[Discount]]</f>
        <v>499.66093712582528</v>
      </c>
    </row>
    <row r="772" spans="1:10" x14ac:dyDescent="0.3">
      <c r="A772" t="s">
        <v>795</v>
      </c>
      <c r="B772" t="s">
        <v>54</v>
      </c>
      <c r="C772" s="1">
        <v>44790</v>
      </c>
      <c r="D772" t="s">
        <v>62</v>
      </c>
      <c r="E772" t="s">
        <v>67</v>
      </c>
      <c r="F772">
        <v>130</v>
      </c>
      <c r="G772" t="s">
        <v>2</v>
      </c>
      <c r="H772" s="2">
        <v>2</v>
      </c>
      <c r="I772" s="3">
        <f t="shared" ca="1" si="4"/>
        <v>0.88730014048751815</v>
      </c>
      <c r="J772" s="4">
        <f ca="1">(Table3[[#This Row],[Price of One Product]]*Table3[[#This Row],[No of Products in one Sale]])-Table3[[#This Row],[Discount]]</f>
        <v>259.11269985951247</v>
      </c>
    </row>
    <row r="773" spans="1:10" x14ac:dyDescent="0.3">
      <c r="A773" t="s">
        <v>796</v>
      </c>
      <c r="B773" t="s">
        <v>51</v>
      </c>
      <c r="C773" s="1">
        <v>44790</v>
      </c>
      <c r="D773" t="s">
        <v>59</v>
      </c>
      <c r="E773" t="s">
        <v>66</v>
      </c>
      <c r="F773">
        <v>72</v>
      </c>
      <c r="G773" t="s">
        <v>0</v>
      </c>
      <c r="H773" s="2">
        <v>4</v>
      </c>
      <c r="I773" s="3">
        <f t="shared" ca="1" si="4"/>
        <v>0.79676593659754691</v>
      </c>
      <c r="J773" s="4">
        <f ca="1">(Table3[[#This Row],[Price of One Product]]*Table3[[#This Row],[No of Products in one Sale]])-Table3[[#This Row],[Discount]]</f>
        <v>287.20323406340248</v>
      </c>
    </row>
    <row r="774" spans="1:10" x14ac:dyDescent="0.3">
      <c r="A774" t="s">
        <v>797</v>
      </c>
      <c r="B774" t="s">
        <v>52</v>
      </c>
      <c r="C774" s="1">
        <v>44757</v>
      </c>
      <c r="D774" t="s">
        <v>60</v>
      </c>
      <c r="E774" t="s">
        <v>67</v>
      </c>
      <c r="F774">
        <v>65</v>
      </c>
      <c r="G774" t="s">
        <v>1</v>
      </c>
      <c r="H774" s="2">
        <v>10</v>
      </c>
      <c r="I774" s="3">
        <f t="shared" ca="1" si="4"/>
        <v>0.4031556184101428</v>
      </c>
      <c r="J774" s="4">
        <f ca="1">(Table3[[#This Row],[Price of One Product]]*Table3[[#This Row],[No of Products in one Sale]])-Table3[[#This Row],[Discount]]</f>
        <v>649.5968443815899</v>
      </c>
    </row>
    <row r="775" spans="1:10" x14ac:dyDescent="0.3">
      <c r="A775" t="s">
        <v>798</v>
      </c>
      <c r="B775" t="s">
        <v>53</v>
      </c>
      <c r="C775" s="1">
        <v>44778</v>
      </c>
      <c r="D775" t="s">
        <v>61</v>
      </c>
      <c r="E775" t="s">
        <v>66</v>
      </c>
      <c r="F775">
        <v>250</v>
      </c>
      <c r="G775" t="s">
        <v>2</v>
      </c>
      <c r="H775" s="2">
        <v>1</v>
      </c>
      <c r="I775" s="3">
        <f t="shared" ca="1" si="4"/>
        <v>0.41849966129545246</v>
      </c>
      <c r="J775" s="4">
        <f ca="1">(Table3[[#This Row],[Price of One Product]]*Table3[[#This Row],[No of Products in one Sale]])-Table3[[#This Row],[Discount]]</f>
        <v>249.58150033870456</v>
      </c>
    </row>
    <row r="776" spans="1:10" x14ac:dyDescent="0.3">
      <c r="A776" t="s">
        <v>799</v>
      </c>
      <c r="B776" t="s">
        <v>54</v>
      </c>
      <c r="C776" s="1">
        <v>44795</v>
      </c>
      <c r="D776" t="s">
        <v>59</v>
      </c>
      <c r="E776" t="s">
        <v>67</v>
      </c>
      <c r="F776">
        <v>72</v>
      </c>
      <c r="G776" t="s">
        <v>0</v>
      </c>
      <c r="H776" s="2">
        <v>12</v>
      </c>
      <c r="I776" s="3">
        <f t="shared" ca="1" si="4"/>
        <v>0.20488999036036593</v>
      </c>
      <c r="J776" s="4">
        <f ca="1">(Table3[[#This Row],[Price of One Product]]*Table3[[#This Row],[No of Products in one Sale]])-Table3[[#This Row],[Discount]]</f>
        <v>863.79511000963964</v>
      </c>
    </row>
    <row r="777" spans="1:10" x14ac:dyDescent="0.3">
      <c r="A777" t="s">
        <v>800</v>
      </c>
      <c r="B777" t="s">
        <v>51</v>
      </c>
      <c r="C777" s="1">
        <v>44800</v>
      </c>
      <c r="D777" t="s">
        <v>60</v>
      </c>
      <c r="E777" t="s">
        <v>66</v>
      </c>
      <c r="F777">
        <v>65</v>
      </c>
      <c r="G777" t="s">
        <v>0</v>
      </c>
      <c r="H777" s="2">
        <v>11</v>
      </c>
      <c r="I777" s="3">
        <f t="shared" ca="1" si="4"/>
        <v>0.48955596185659234</v>
      </c>
      <c r="J777" s="4">
        <f ca="1">(Table3[[#This Row],[Price of One Product]]*Table3[[#This Row],[No of Products in one Sale]])-Table3[[#This Row],[Discount]]</f>
        <v>714.51044403814342</v>
      </c>
    </row>
    <row r="778" spans="1:10" x14ac:dyDescent="0.3">
      <c r="A778" t="s">
        <v>801</v>
      </c>
      <c r="B778" t="s">
        <v>52</v>
      </c>
      <c r="C778" s="1">
        <v>44783</v>
      </c>
      <c r="D778" t="s">
        <v>61</v>
      </c>
      <c r="E778" t="s">
        <v>67</v>
      </c>
      <c r="F778">
        <v>250</v>
      </c>
      <c r="G778" t="s">
        <v>1</v>
      </c>
      <c r="H778" s="2">
        <v>2</v>
      </c>
      <c r="I778" s="3">
        <f t="shared" ca="1" si="4"/>
        <v>0.19741322513658288</v>
      </c>
      <c r="J778" s="4">
        <f ca="1">(Table3[[#This Row],[Price of One Product]]*Table3[[#This Row],[No of Products in one Sale]])-Table3[[#This Row],[Discount]]</f>
        <v>499.80258677486341</v>
      </c>
    </row>
    <row r="779" spans="1:10" x14ac:dyDescent="0.3">
      <c r="A779" t="s">
        <v>802</v>
      </c>
      <c r="B779" t="s">
        <v>53</v>
      </c>
      <c r="C779" s="1">
        <v>44770</v>
      </c>
      <c r="D779" t="s">
        <v>62</v>
      </c>
      <c r="E779" t="s">
        <v>67</v>
      </c>
      <c r="F779">
        <v>130</v>
      </c>
      <c r="G779" t="s">
        <v>2</v>
      </c>
      <c r="H779" s="2">
        <v>7</v>
      </c>
      <c r="I779" s="3">
        <f t="shared" ca="1" si="4"/>
        <v>0.91945299414006054</v>
      </c>
      <c r="J779" s="4">
        <f ca="1">(Table3[[#This Row],[Price of One Product]]*Table3[[#This Row],[No of Products in one Sale]])-Table3[[#This Row],[Discount]]</f>
        <v>909.0805470058599</v>
      </c>
    </row>
    <row r="780" spans="1:10" x14ac:dyDescent="0.3">
      <c r="A780" t="s">
        <v>803</v>
      </c>
      <c r="B780" t="s">
        <v>54</v>
      </c>
      <c r="C780" s="1">
        <v>44764</v>
      </c>
      <c r="D780" t="s">
        <v>59</v>
      </c>
      <c r="E780" t="s">
        <v>67</v>
      </c>
      <c r="F780">
        <v>72</v>
      </c>
      <c r="G780" t="s">
        <v>0</v>
      </c>
      <c r="H780" s="2">
        <v>6</v>
      </c>
      <c r="I780" s="3">
        <f t="shared" ca="1" si="4"/>
        <v>0.16858271838295769</v>
      </c>
      <c r="J780" s="4">
        <f ca="1">(Table3[[#This Row],[Price of One Product]]*Table3[[#This Row],[No of Products in one Sale]])-Table3[[#This Row],[Discount]]</f>
        <v>431.83141728161706</v>
      </c>
    </row>
    <row r="781" spans="1:10" x14ac:dyDescent="0.3">
      <c r="A781" t="s">
        <v>804</v>
      </c>
      <c r="B781" t="s">
        <v>51</v>
      </c>
      <c r="C781" s="1">
        <v>44810</v>
      </c>
      <c r="D781" t="s">
        <v>60</v>
      </c>
      <c r="E781" t="s">
        <v>67</v>
      </c>
      <c r="F781">
        <v>65</v>
      </c>
      <c r="G781" t="s">
        <v>1</v>
      </c>
      <c r="H781" s="2">
        <v>4</v>
      </c>
      <c r="I781" s="3">
        <f t="shared" ca="1" si="4"/>
        <v>0.77221575766399664</v>
      </c>
      <c r="J781" s="4">
        <f ca="1">(Table3[[#This Row],[Price of One Product]]*Table3[[#This Row],[No of Products in one Sale]])-Table3[[#This Row],[Discount]]</f>
        <v>259.22778424233599</v>
      </c>
    </row>
    <row r="782" spans="1:10" x14ac:dyDescent="0.3">
      <c r="A782" t="s">
        <v>805</v>
      </c>
      <c r="B782" t="s">
        <v>52</v>
      </c>
      <c r="C782" s="1">
        <v>44793</v>
      </c>
      <c r="D782" t="s">
        <v>61</v>
      </c>
      <c r="E782" t="s">
        <v>67</v>
      </c>
      <c r="F782">
        <v>250</v>
      </c>
      <c r="G782" t="s">
        <v>2</v>
      </c>
      <c r="H782" s="2">
        <v>2</v>
      </c>
      <c r="I782" s="3">
        <f t="shared" ca="1" si="4"/>
        <v>0.12907437978321645</v>
      </c>
      <c r="J782" s="4">
        <f ca="1">(Table3[[#This Row],[Price of One Product]]*Table3[[#This Row],[No of Products in one Sale]])-Table3[[#This Row],[Discount]]</f>
        <v>499.87092562021678</v>
      </c>
    </row>
    <row r="783" spans="1:10" x14ac:dyDescent="0.3">
      <c r="A783" t="s">
        <v>806</v>
      </c>
      <c r="B783" t="s">
        <v>53</v>
      </c>
      <c r="C783" s="1">
        <v>44787</v>
      </c>
      <c r="D783" t="s">
        <v>62</v>
      </c>
      <c r="E783" t="s">
        <v>66</v>
      </c>
      <c r="F783">
        <v>130</v>
      </c>
      <c r="G783" t="s">
        <v>0</v>
      </c>
      <c r="H783" s="2">
        <v>4</v>
      </c>
      <c r="I783" s="3">
        <f t="shared" ca="1" si="4"/>
        <v>0.52707156226399821</v>
      </c>
      <c r="J783" s="4">
        <f ca="1">(Table3[[#This Row],[Price of One Product]]*Table3[[#This Row],[No of Products in one Sale]])-Table3[[#This Row],[Discount]]</f>
        <v>519.47292843773596</v>
      </c>
    </row>
    <row r="784" spans="1:10" x14ac:dyDescent="0.3">
      <c r="A784" t="s">
        <v>807</v>
      </c>
      <c r="B784" t="s">
        <v>54</v>
      </c>
      <c r="C784" s="1">
        <v>44774</v>
      </c>
      <c r="D784" t="s">
        <v>63</v>
      </c>
      <c r="E784" t="s">
        <v>67</v>
      </c>
      <c r="F784">
        <v>60</v>
      </c>
      <c r="G784" t="s">
        <v>1</v>
      </c>
      <c r="H784" s="2">
        <v>8</v>
      </c>
      <c r="I784" s="3">
        <f t="shared" ca="1" si="4"/>
        <v>0.26788713691900823</v>
      </c>
      <c r="J784" s="4">
        <f ca="1">(Table3[[#This Row],[Price of One Product]]*Table3[[#This Row],[No of Products in one Sale]])-Table3[[#This Row],[Discount]]</f>
        <v>479.732112863081</v>
      </c>
    </row>
    <row r="785" spans="1:10" x14ac:dyDescent="0.3">
      <c r="A785" t="s">
        <v>808</v>
      </c>
      <c r="B785" t="s">
        <v>55</v>
      </c>
      <c r="C785" s="1">
        <v>44756</v>
      </c>
      <c r="D785" t="s">
        <v>59</v>
      </c>
      <c r="E785" t="s">
        <v>66</v>
      </c>
      <c r="F785">
        <v>72</v>
      </c>
      <c r="G785" t="s">
        <v>2</v>
      </c>
      <c r="H785" s="2">
        <v>4</v>
      </c>
      <c r="I785" s="3">
        <f t="shared" ca="1" si="4"/>
        <v>0.71536644681519612</v>
      </c>
      <c r="J785" s="4">
        <f ca="1">(Table3[[#This Row],[Price of One Product]]*Table3[[#This Row],[No of Products in one Sale]])-Table3[[#This Row],[Discount]]</f>
        <v>287.28463355318479</v>
      </c>
    </row>
    <row r="786" spans="1:10" x14ac:dyDescent="0.3">
      <c r="A786" t="s">
        <v>809</v>
      </c>
      <c r="B786" t="s">
        <v>51</v>
      </c>
      <c r="C786" s="1">
        <v>44810</v>
      </c>
      <c r="D786" t="s">
        <v>60</v>
      </c>
      <c r="E786" t="s">
        <v>67</v>
      </c>
      <c r="F786">
        <v>65</v>
      </c>
      <c r="G786" t="s">
        <v>0</v>
      </c>
      <c r="H786" s="2">
        <v>5</v>
      </c>
      <c r="I786" s="3">
        <f t="shared" ca="1" si="4"/>
        <v>0.27530553426560167</v>
      </c>
      <c r="J786" s="4">
        <f ca="1">(Table3[[#This Row],[Price of One Product]]*Table3[[#This Row],[No of Products in one Sale]])-Table3[[#This Row],[Discount]]</f>
        <v>324.72469446573439</v>
      </c>
    </row>
    <row r="787" spans="1:10" x14ac:dyDescent="0.3">
      <c r="A787" t="s">
        <v>810</v>
      </c>
      <c r="B787" t="s">
        <v>52</v>
      </c>
      <c r="C787" s="1">
        <v>44774</v>
      </c>
      <c r="D787" t="s">
        <v>61</v>
      </c>
      <c r="E787" t="s">
        <v>66</v>
      </c>
      <c r="F787">
        <v>250</v>
      </c>
      <c r="G787" t="s">
        <v>1</v>
      </c>
      <c r="H787" s="2">
        <v>3</v>
      </c>
      <c r="I787" s="3">
        <f t="shared" ca="1" si="4"/>
        <v>0.94890489428931701</v>
      </c>
      <c r="J787" s="4">
        <f ca="1">(Table3[[#This Row],[Price of One Product]]*Table3[[#This Row],[No of Products in one Sale]])-Table3[[#This Row],[Discount]]</f>
        <v>749.05109510571071</v>
      </c>
    </row>
    <row r="788" spans="1:10" x14ac:dyDescent="0.3">
      <c r="A788" t="s">
        <v>811</v>
      </c>
      <c r="B788" t="s">
        <v>53</v>
      </c>
      <c r="C788" s="1">
        <v>44804</v>
      </c>
      <c r="D788" t="s">
        <v>62</v>
      </c>
      <c r="E788" t="s">
        <v>67</v>
      </c>
      <c r="F788">
        <v>130</v>
      </c>
      <c r="G788" t="s">
        <v>2</v>
      </c>
      <c r="H788" s="2">
        <v>4</v>
      </c>
      <c r="I788" s="3">
        <f t="shared" ca="1" si="4"/>
        <v>3.8583254330381789E-2</v>
      </c>
      <c r="J788" s="4">
        <f ca="1">(Table3[[#This Row],[Price of One Product]]*Table3[[#This Row],[No of Products in one Sale]])-Table3[[#This Row],[Discount]]</f>
        <v>519.96141674566957</v>
      </c>
    </row>
    <row r="789" spans="1:10" x14ac:dyDescent="0.3">
      <c r="A789" t="s">
        <v>812</v>
      </c>
      <c r="B789" t="s">
        <v>54</v>
      </c>
      <c r="C789" s="1">
        <v>44803</v>
      </c>
      <c r="D789" t="s">
        <v>59</v>
      </c>
      <c r="E789" t="s">
        <v>66</v>
      </c>
      <c r="F789">
        <v>72</v>
      </c>
      <c r="G789" t="s">
        <v>0</v>
      </c>
      <c r="H789" s="2">
        <v>5</v>
      </c>
      <c r="I789" s="3">
        <f t="shared" ca="1" si="4"/>
        <v>0.58816776507698065</v>
      </c>
      <c r="J789" s="4">
        <f ca="1">(Table3[[#This Row],[Price of One Product]]*Table3[[#This Row],[No of Products in one Sale]])-Table3[[#This Row],[Discount]]</f>
        <v>359.411832234923</v>
      </c>
    </row>
    <row r="790" spans="1:10" x14ac:dyDescent="0.3">
      <c r="A790" t="s">
        <v>813</v>
      </c>
      <c r="B790" t="s">
        <v>51</v>
      </c>
      <c r="C790" s="1">
        <v>44808</v>
      </c>
      <c r="D790" t="s">
        <v>60</v>
      </c>
      <c r="E790" t="s">
        <v>67</v>
      </c>
      <c r="F790">
        <v>65</v>
      </c>
      <c r="G790" t="s">
        <v>1</v>
      </c>
      <c r="H790" s="2">
        <v>7</v>
      </c>
      <c r="I790" s="3">
        <f t="shared" ca="1" si="4"/>
        <v>0.95602211942156534</v>
      </c>
      <c r="J790" s="4">
        <f ca="1">(Table3[[#This Row],[Price of One Product]]*Table3[[#This Row],[No of Products in one Sale]])-Table3[[#This Row],[Discount]]</f>
        <v>454.04397788057844</v>
      </c>
    </row>
    <row r="791" spans="1:10" x14ac:dyDescent="0.3">
      <c r="A791" t="s">
        <v>814</v>
      </c>
      <c r="B791" t="s">
        <v>52</v>
      </c>
      <c r="C791" s="1">
        <v>44786</v>
      </c>
      <c r="D791" t="s">
        <v>61</v>
      </c>
      <c r="E791" t="s">
        <v>66</v>
      </c>
      <c r="F791">
        <v>250</v>
      </c>
      <c r="G791" t="s">
        <v>2</v>
      </c>
      <c r="H791" s="2">
        <v>1</v>
      </c>
      <c r="I791" s="3">
        <f t="shared" ca="1" si="4"/>
        <v>0.70147741040801281</v>
      </c>
      <c r="J791" s="4">
        <f ca="1">(Table3[[#This Row],[Price of One Product]]*Table3[[#This Row],[No of Products in one Sale]])-Table3[[#This Row],[Discount]]</f>
        <v>249.29852258959198</v>
      </c>
    </row>
    <row r="792" spans="1:10" x14ac:dyDescent="0.3">
      <c r="A792" t="s">
        <v>815</v>
      </c>
      <c r="B792" t="s">
        <v>53</v>
      </c>
      <c r="C792" s="1">
        <v>44788</v>
      </c>
      <c r="D792" t="s">
        <v>62</v>
      </c>
      <c r="E792" t="s">
        <v>67</v>
      </c>
      <c r="F792">
        <v>130</v>
      </c>
      <c r="G792" t="s">
        <v>0</v>
      </c>
      <c r="H792" s="2">
        <v>6</v>
      </c>
      <c r="I792" s="3">
        <f t="shared" ca="1" si="4"/>
        <v>0.65345782751294834</v>
      </c>
      <c r="J792" s="4">
        <f ca="1">(Table3[[#This Row],[Price of One Product]]*Table3[[#This Row],[No of Products in one Sale]])-Table3[[#This Row],[Discount]]</f>
        <v>779.34654217248703</v>
      </c>
    </row>
    <row r="793" spans="1:10" x14ac:dyDescent="0.3">
      <c r="A793" t="s">
        <v>816</v>
      </c>
      <c r="B793" t="s">
        <v>54</v>
      </c>
      <c r="C793" s="1">
        <v>44772</v>
      </c>
      <c r="D793" t="s">
        <v>63</v>
      </c>
      <c r="E793" t="s">
        <v>66</v>
      </c>
      <c r="F793">
        <v>60</v>
      </c>
      <c r="G793" t="s">
        <v>1</v>
      </c>
      <c r="H793" s="2">
        <v>13</v>
      </c>
      <c r="I793" s="3">
        <f t="shared" ca="1" si="4"/>
        <v>0.57221911744316745</v>
      </c>
      <c r="J793" s="4">
        <f ca="1">(Table3[[#This Row],[Price of One Product]]*Table3[[#This Row],[No of Products in one Sale]])-Table3[[#This Row],[Discount]]</f>
        <v>779.42778088255682</v>
      </c>
    </row>
    <row r="794" spans="1:10" x14ac:dyDescent="0.3">
      <c r="A794" t="s">
        <v>817</v>
      </c>
      <c r="B794" t="s">
        <v>55</v>
      </c>
      <c r="C794" s="1">
        <v>44756</v>
      </c>
      <c r="D794" t="s">
        <v>64</v>
      </c>
      <c r="E794" t="s">
        <v>67</v>
      </c>
      <c r="F794">
        <v>95</v>
      </c>
      <c r="G794" t="s">
        <v>2</v>
      </c>
      <c r="H794" s="2">
        <v>6</v>
      </c>
      <c r="I794" s="3">
        <f t="shared" ca="1" si="4"/>
        <v>0.30590263665882989</v>
      </c>
      <c r="J794" s="4">
        <f ca="1">(Table3[[#This Row],[Price of One Product]]*Table3[[#This Row],[No of Products in one Sale]])-Table3[[#This Row],[Discount]]</f>
        <v>569.69409736334114</v>
      </c>
    </row>
    <row r="795" spans="1:10" x14ac:dyDescent="0.3">
      <c r="A795" t="s">
        <v>818</v>
      </c>
      <c r="B795" t="s">
        <v>56</v>
      </c>
      <c r="C795" s="1">
        <v>44808</v>
      </c>
      <c r="D795" t="s">
        <v>59</v>
      </c>
      <c r="E795" t="s">
        <v>66</v>
      </c>
      <c r="F795">
        <v>72</v>
      </c>
      <c r="G795" t="s">
        <v>0</v>
      </c>
      <c r="H795" s="2">
        <v>12</v>
      </c>
      <c r="I795" s="3">
        <f t="shared" ca="1" si="4"/>
        <v>0.56993925137745649</v>
      </c>
      <c r="J795" s="4">
        <f ca="1">(Table3[[#This Row],[Price of One Product]]*Table3[[#This Row],[No of Products in one Sale]])-Table3[[#This Row],[Discount]]</f>
        <v>863.43006074862251</v>
      </c>
    </row>
  </sheetData>
  <phoneticPr fontId="1"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ADE98-30E1-41A4-8530-8A4D8D1D04C8}">
  <dimension ref="A1:D214"/>
  <sheetViews>
    <sheetView topLeftCell="A196" zoomScale="85" zoomScaleNormal="85" workbookViewId="0">
      <selection activeCell="D14" sqref="D14"/>
    </sheetView>
  </sheetViews>
  <sheetFormatPr defaultRowHeight="14.4" x14ac:dyDescent="0.3"/>
  <cols>
    <col min="1" max="1" width="28.77734375" customWidth="1"/>
    <col min="2" max="2" width="16.44140625" bestFit="1" customWidth="1"/>
    <col min="3" max="3" width="16.5546875" bestFit="1" customWidth="1"/>
    <col min="4" max="4" width="16.6640625" bestFit="1" customWidth="1"/>
  </cols>
  <sheetData>
    <row r="1" spans="1:4" x14ac:dyDescent="0.3">
      <c r="A1" t="s">
        <v>820</v>
      </c>
    </row>
    <row r="3" spans="1:4" x14ac:dyDescent="0.3">
      <c r="A3" s="5" t="s">
        <v>858</v>
      </c>
      <c r="B3" s="5" t="s">
        <v>859</v>
      </c>
      <c r="C3" s="5" t="s">
        <v>860</v>
      </c>
      <c r="D3" s="5" t="s">
        <v>861</v>
      </c>
    </row>
    <row r="4" spans="1:4" x14ac:dyDescent="0.3">
      <c r="A4" s="21">
        <v>794</v>
      </c>
      <c r="B4" s="16">
        <v>437886.5086530369</v>
      </c>
      <c r="C4" s="16">
        <v>551.49434339173411</v>
      </c>
      <c r="D4" s="6">
        <v>0.48046769138866979</v>
      </c>
    </row>
    <row r="6" spans="1:4" x14ac:dyDescent="0.3">
      <c r="A6" t="s">
        <v>821</v>
      </c>
    </row>
    <row r="8" spans="1:4" x14ac:dyDescent="0.3">
      <c r="A8" s="7" t="s">
        <v>58</v>
      </c>
      <c r="B8" s="5" t="s">
        <v>919</v>
      </c>
    </row>
    <row r="9" spans="1:4" x14ac:dyDescent="0.3">
      <c r="A9" s="5" t="s">
        <v>64</v>
      </c>
      <c r="B9" s="21">
        <v>35</v>
      </c>
    </row>
    <row r="10" spans="1:4" x14ac:dyDescent="0.3">
      <c r="A10" s="5" t="s">
        <v>63</v>
      </c>
      <c r="B10" s="21">
        <v>70</v>
      </c>
    </row>
    <row r="11" spans="1:4" x14ac:dyDescent="0.3">
      <c r="A11" s="5" t="s">
        <v>62</v>
      </c>
      <c r="B11" s="21">
        <v>169</v>
      </c>
    </row>
    <row r="12" spans="1:4" x14ac:dyDescent="0.3">
      <c r="A12" s="5" t="s">
        <v>61</v>
      </c>
      <c r="B12" s="21">
        <v>173</v>
      </c>
    </row>
    <row r="13" spans="1:4" x14ac:dyDescent="0.3">
      <c r="A13" s="5" t="s">
        <v>60</v>
      </c>
      <c r="B13" s="21">
        <v>173</v>
      </c>
    </row>
    <row r="14" spans="1:4" x14ac:dyDescent="0.3">
      <c r="A14" s="5" t="s">
        <v>59</v>
      </c>
      <c r="B14" s="21">
        <v>174</v>
      </c>
    </row>
    <row r="15" spans="1:4" x14ac:dyDescent="0.3">
      <c r="A15" s="2"/>
      <c r="B15" s="2"/>
    </row>
    <row r="16" spans="1:4" x14ac:dyDescent="0.3">
      <c r="A16" t="s">
        <v>822</v>
      </c>
    </row>
    <row r="18" spans="1:2" x14ac:dyDescent="0.3">
      <c r="A18" s="7" t="s">
        <v>916</v>
      </c>
      <c r="B18" s="5" t="s">
        <v>918</v>
      </c>
    </row>
    <row r="19" spans="1:2" x14ac:dyDescent="0.3">
      <c r="A19" s="5" t="s">
        <v>862</v>
      </c>
      <c r="B19" s="21">
        <v>13</v>
      </c>
    </row>
    <row r="20" spans="1:2" x14ac:dyDescent="0.3">
      <c r="A20" s="5" t="s">
        <v>863</v>
      </c>
      <c r="B20" s="21">
        <v>11</v>
      </c>
    </row>
    <row r="21" spans="1:2" x14ac:dyDescent="0.3">
      <c r="A21" s="5" t="s">
        <v>827</v>
      </c>
      <c r="B21" s="21">
        <v>18</v>
      </c>
    </row>
    <row r="22" spans="1:2" x14ac:dyDescent="0.3">
      <c r="A22" s="5" t="s">
        <v>864</v>
      </c>
      <c r="B22" s="21">
        <v>7</v>
      </c>
    </row>
    <row r="23" spans="1:2" x14ac:dyDescent="0.3">
      <c r="A23" s="5" t="s">
        <v>865</v>
      </c>
      <c r="B23" s="21">
        <v>12</v>
      </c>
    </row>
    <row r="24" spans="1:2" x14ac:dyDescent="0.3">
      <c r="A24" s="5" t="s">
        <v>828</v>
      </c>
      <c r="B24" s="21">
        <v>6</v>
      </c>
    </row>
    <row r="25" spans="1:2" x14ac:dyDescent="0.3">
      <c r="A25" s="5" t="s">
        <v>829</v>
      </c>
      <c r="B25" s="21">
        <v>13</v>
      </c>
    </row>
    <row r="26" spans="1:2" x14ac:dyDescent="0.3">
      <c r="A26" s="5" t="s">
        <v>830</v>
      </c>
      <c r="B26" s="21">
        <v>8</v>
      </c>
    </row>
    <row r="27" spans="1:2" x14ac:dyDescent="0.3">
      <c r="A27" s="5" t="s">
        <v>866</v>
      </c>
      <c r="B27" s="21">
        <v>7</v>
      </c>
    </row>
    <row r="28" spans="1:2" x14ac:dyDescent="0.3">
      <c r="A28" s="5" t="s">
        <v>831</v>
      </c>
      <c r="B28" s="21">
        <v>34</v>
      </c>
    </row>
    <row r="29" spans="1:2" x14ac:dyDescent="0.3">
      <c r="A29" s="5" t="s">
        <v>832</v>
      </c>
      <c r="B29" s="21">
        <v>29</v>
      </c>
    </row>
    <row r="30" spans="1:2" x14ac:dyDescent="0.3">
      <c r="A30" s="5" t="s">
        <v>833</v>
      </c>
      <c r="B30" s="21">
        <v>13</v>
      </c>
    </row>
    <row r="31" spans="1:2" x14ac:dyDescent="0.3">
      <c r="A31" s="5" t="s">
        <v>834</v>
      </c>
      <c r="B31" s="21">
        <v>26</v>
      </c>
    </row>
    <row r="32" spans="1:2" x14ac:dyDescent="0.3">
      <c r="A32" s="5" t="s">
        <v>835</v>
      </c>
      <c r="B32" s="21">
        <v>17</v>
      </c>
    </row>
    <row r="33" spans="1:2" x14ac:dyDescent="0.3">
      <c r="A33" s="5" t="s">
        <v>867</v>
      </c>
      <c r="B33" s="21">
        <v>11</v>
      </c>
    </row>
    <row r="34" spans="1:2" x14ac:dyDescent="0.3">
      <c r="A34" s="5" t="s">
        <v>836</v>
      </c>
      <c r="B34" s="21">
        <v>27</v>
      </c>
    </row>
    <row r="35" spans="1:2" x14ac:dyDescent="0.3">
      <c r="A35" s="5" t="s">
        <v>868</v>
      </c>
      <c r="B35" s="21">
        <v>10</v>
      </c>
    </row>
    <row r="36" spans="1:2" x14ac:dyDescent="0.3">
      <c r="A36" s="5" t="s">
        <v>869</v>
      </c>
      <c r="B36" s="21">
        <v>10</v>
      </c>
    </row>
    <row r="37" spans="1:2" x14ac:dyDescent="0.3">
      <c r="A37" s="5" t="s">
        <v>870</v>
      </c>
      <c r="B37" s="21">
        <v>15</v>
      </c>
    </row>
    <row r="38" spans="1:2" x14ac:dyDescent="0.3">
      <c r="A38" s="5" t="s">
        <v>871</v>
      </c>
      <c r="B38" s="21">
        <v>5</v>
      </c>
    </row>
    <row r="39" spans="1:2" x14ac:dyDescent="0.3">
      <c r="A39" s="5" t="s">
        <v>872</v>
      </c>
      <c r="B39" s="21">
        <v>16</v>
      </c>
    </row>
    <row r="40" spans="1:2" x14ac:dyDescent="0.3">
      <c r="A40" s="5" t="s">
        <v>873</v>
      </c>
      <c r="B40" s="21">
        <v>10</v>
      </c>
    </row>
    <row r="41" spans="1:2" x14ac:dyDescent="0.3">
      <c r="A41" s="5" t="s">
        <v>874</v>
      </c>
      <c r="B41" s="21">
        <v>10</v>
      </c>
    </row>
    <row r="42" spans="1:2" x14ac:dyDescent="0.3">
      <c r="A42" s="5" t="s">
        <v>875</v>
      </c>
      <c r="B42" s="21">
        <v>10</v>
      </c>
    </row>
    <row r="43" spans="1:2" x14ac:dyDescent="0.3">
      <c r="A43" s="5" t="s">
        <v>876</v>
      </c>
      <c r="B43" s="21">
        <v>10</v>
      </c>
    </row>
    <row r="44" spans="1:2" x14ac:dyDescent="0.3">
      <c r="A44" s="5" t="s">
        <v>877</v>
      </c>
      <c r="B44" s="21">
        <v>10</v>
      </c>
    </row>
    <row r="45" spans="1:2" x14ac:dyDescent="0.3">
      <c r="A45" s="5" t="s">
        <v>837</v>
      </c>
      <c r="B45" s="21">
        <v>15</v>
      </c>
    </row>
    <row r="46" spans="1:2" x14ac:dyDescent="0.3">
      <c r="A46" s="5" t="s">
        <v>838</v>
      </c>
      <c r="B46" s="21">
        <v>20</v>
      </c>
    </row>
    <row r="47" spans="1:2" x14ac:dyDescent="0.3">
      <c r="A47" s="5" t="s">
        <v>878</v>
      </c>
      <c r="B47" s="21">
        <v>10</v>
      </c>
    </row>
    <row r="48" spans="1:2" x14ac:dyDescent="0.3">
      <c r="A48" s="5" t="s">
        <v>879</v>
      </c>
      <c r="B48" s="21">
        <v>26</v>
      </c>
    </row>
    <row r="49" spans="1:2" x14ac:dyDescent="0.3">
      <c r="A49" s="5" t="s">
        <v>839</v>
      </c>
      <c r="B49" s="21">
        <v>14</v>
      </c>
    </row>
    <row r="50" spans="1:2" x14ac:dyDescent="0.3">
      <c r="A50" s="5" t="s">
        <v>840</v>
      </c>
      <c r="B50" s="21">
        <v>14</v>
      </c>
    </row>
    <row r="51" spans="1:2" x14ac:dyDescent="0.3">
      <c r="A51" s="5" t="s">
        <v>880</v>
      </c>
      <c r="B51" s="21">
        <v>7</v>
      </c>
    </row>
    <row r="52" spans="1:2" x14ac:dyDescent="0.3">
      <c r="A52" s="5" t="s">
        <v>841</v>
      </c>
      <c r="B52" s="21">
        <v>16</v>
      </c>
    </row>
    <row r="53" spans="1:2" x14ac:dyDescent="0.3">
      <c r="A53" s="5" t="s">
        <v>881</v>
      </c>
      <c r="B53" s="21">
        <v>14</v>
      </c>
    </row>
    <row r="54" spans="1:2" x14ac:dyDescent="0.3">
      <c r="A54" s="5" t="s">
        <v>882</v>
      </c>
      <c r="B54" s="21">
        <v>12</v>
      </c>
    </row>
    <row r="55" spans="1:2" x14ac:dyDescent="0.3">
      <c r="A55" s="5" t="s">
        <v>842</v>
      </c>
      <c r="B55" s="21">
        <v>13</v>
      </c>
    </row>
    <row r="56" spans="1:2" x14ac:dyDescent="0.3">
      <c r="A56" s="5" t="s">
        <v>843</v>
      </c>
      <c r="B56" s="21">
        <v>19</v>
      </c>
    </row>
    <row r="57" spans="1:2" x14ac:dyDescent="0.3">
      <c r="A57" s="5" t="s">
        <v>844</v>
      </c>
      <c r="B57" s="21">
        <v>16</v>
      </c>
    </row>
    <row r="58" spans="1:2" x14ac:dyDescent="0.3">
      <c r="A58" s="5" t="s">
        <v>845</v>
      </c>
      <c r="B58" s="21">
        <v>7</v>
      </c>
    </row>
    <row r="59" spans="1:2" x14ac:dyDescent="0.3">
      <c r="A59" s="5" t="s">
        <v>846</v>
      </c>
      <c r="B59" s="21">
        <v>5</v>
      </c>
    </row>
    <row r="60" spans="1:2" x14ac:dyDescent="0.3">
      <c r="A60" s="5" t="s">
        <v>883</v>
      </c>
      <c r="B60" s="21">
        <v>3</v>
      </c>
    </row>
    <row r="61" spans="1:2" x14ac:dyDescent="0.3">
      <c r="A61" s="5" t="s">
        <v>884</v>
      </c>
      <c r="B61" s="21">
        <v>9</v>
      </c>
    </row>
    <row r="62" spans="1:2" x14ac:dyDescent="0.3">
      <c r="A62" s="5" t="s">
        <v>885</v>
      </c>
      <c r="B62" s="21">
        <v>10</v>
      </c>
    </row>
    <row r="63" spans="1:2" x14ac:dyDescent="0.3">
      <c r="A63" s="5" t="s">
        <v>847</v>
      </c>
      <c r="B63" s="21">
        <v>4</v>
      </c>
    </row>
    <row r="64" spans="1:2" x14ac:dyDescent="0.3">
      <c r="A64" s="5" t="s">
        <v>848</v>
      </c>
      <c r="B64" s="21">
        <v>6</v>
      </c>
    </row>
    <row r="65" spans="1:2" x14ac:dyDescent="0.3">
      <c r="A65" s="5" t="s">
        <v>886</v>
      </c>
      <c r="B65" s="21">
        <v>2</v>
      </c>
    </row>
    <row r="66" spans="1:2" x14ac:dyDescent="0.3">
      <c r="A66" s="5" t="s">
        <v>887</v>
      </c>
      <c r="B66" s="21">
        <v>8</v>
      </c>
    </row>
    <row r="67" spans="1:2" x14ac:dyDescent="0.3">
      <c r="A67" s="5" t="s">
        <v>888</v>
      </c>
      <c r="B67" s="21">
        <v>3</v>
      </c>
    </row>
    <row r="68" spans="1:2" x14ac:dyDescent="0.3">
      <c r="A68" s="5" t="s">
        <v>889</v>
      </c>
      <c r="B68" s="21">
        <v>4</v>
      </c>
    </row>
    <row r="69" spans="1:2" x14ac:dyDescent="0.3">
      <c r="A69" s="5" t="s">
        <v>890</v>
      </c>
      <c r="B69" s="21">
        <v>4</v>
      </c>
    </row>
    <row r="70" spans="1:2" x14ac:dyDescent="0.3">
      <c r="A70" s="5" t="s">
        <v>891</v>
      </c>
      <c r="B70" s="21">
        <v>5</v>
      </c>
    </row>
    <row r="71" spans="1:2" x14ac:dyDescent="0.3">
      <c r="A71" s="5" t="s">
        <v>892</v>
      </c>
      <c r="B71" s="21">
        <v>3</v>
      </c>
    </row>
    <row r="72" spans="1:2" x14ac:dyDescent="0.3">
      <c r="A72" s="5" t="s">
        <v>893</v>
      </c>
      <c r="B72" s="21">
        <v>3</v>
      </c>
    </row>
    <row r="73" spans="1:2" x14ac:dyDescent="0.3">
      <c r="A73" s="5" t="s">
        <v>894</v>
      </c>
      <c r="B73" s="21">
        <v>2</v>
      </c>
    </row>
    <row r="74" spans="1:2" x14ac:dyDescent="0.3">
      <c r="A74" s="5" t="s">
        <v>895</v>
      </c>
      <c r="B74" s="21">
        <v>8</v>
      </c>
    </row>
    <row r="75" spans="1:2" x14ac:dyDescent="0.3">
      <c r="A75" s="5" t="s">
        <v>849</v>
      </c>
      <c r="B75" s="21">
        <v>3</v>
      </c>
    </row>
    <row r="76" spans="1:2" x14ac:dyDescent="0.3">
      <c r="A76" s="5" t="s">
        <v>896</v>
      </c>
      <c r="B76" s="21">
        <v>3</v>
      </c>
    </row>
    <row r="77" spans="1:2" x14ac:dyDescent="0.3">
      <c r="A77" s="5" t="s">
        <v>897</v>
      </c>
      <c r="B77" s="21">
        <v>6</v>
      </c>
    </row>
    <row r="78" spans="1:2" x14ac:dyDescent="0.3">
      <c r="A78" s="5" t="s">
        <v>898</v>
      </c>
      <c r="B78" s="21">
        <v>3</v>
      </c>
    </row>
    <row r="79" spans="1:2" x14ac:dyDescent="0.3">
      <c r="A79" s="5" t="s">
        <v>850</v>
      </c>
      <c r="B79" s="21">
        <v>6</v>
      </c>
    </row>
    <row r="80" spans="1:2" x14ac:dyDescent="0.3">
      <c r="A80" s="5" t="s">
        <v>851</v>
      </c>
      <c r="B80" s="21">
        <v>5</v>
      </c>
    </row>
    <row r="81" spans="1:2" x14ac:dyDescent="0.3">
      <c r="A81" s="5" t="s">
        <v>899</v>
      </c>
      <c r="B81" s="21">
        <v>5</v>
      </c>
    </row>
    <row r="82" spans="1:2" x14ac:dyDescent="0.3">
      <c r="A82" s="5" t="s">
        <v>852</v>
      </c>
      <c r="B82" s="21">
        <v>6</v>
      </c>
    </row>
    <row r="83" spans="1:2" x14ac:dyDescent="0.3">
      <c r="A83" s="5" t="s">
        <v>900</v>
      </c>
      <c r="B83" s="21">
        <v>7</v>
      </c>
    </row>
    <row r="84" spans="1:2" x14ac:dyDescent="0.3">
      <c r="A84" s="5" t="s">
        <v>901</v>
      </c>
      <c r="B84" s="21">
        <v>4</v>
      </c>
    </row>
    <row r="85" spans="1:2" x14ac:dyDescent="0.3">
      <c r="A85" s="5" t="s">
        <v>902</v>
      </c>
      <c r="B85" s="21">
        <v>8</v>
      </c>
    </row>
    <row r="86" spans="1:2" x14ac:dyDescent="0.3">
      <c r="A86" s="5" t="s">
        <v>903</v>
      </c>
      <c r="B86" s="21">
        <v>7</v>
      </c>
    </row>
    <row r="87" spans="1:2" x14ac:dyDescent="0.3">
      <c r="A87" s="5" t="s">
        <v>904</v>
      </c>
      <c r="B87" s="21">
        <v>6</v>
      </c>
    </row>
    <row r="88" spans="1:2" x14ac:dyDescent="0.3">
      <c r="A88" s="5" t="s">
        <v>905</v>
      </c>
      <c r="B88" s="21">
        <v>6</v>
      </c>
    </row>
    <row r="89" spans="1:2" x14ac:dyDescent="0.3">
      <c r="A89" s="5" t="s">
        <v>906</v>
      </c>
      <c r="B89" s="21">
        <v>4</v>
      </c>
    </row>
    <row r="90" spans="1:2" x14ac:dyDescent="0.3">
      <c r="A90" s="5" t="s">
        <v>853</v>
      </c>
      <c r="B90" s="21">
        <v>5</v>
      </c>
    </row>
    <row r="91" spans="1:2" x14ac:dyDescent="0.3">
      <c r="A91" s="5" t="s">
        <v>854</v>
      </c>
      <c r="B91" s="21">
        <v>9</v>
      </c>
    </row>
    <row r="92" spans="1:2" x14ac:dyDescent="0.3">
      <c r="A92" s="5" t="s">
        <v>855</v>
      </c>
      <c r="B92" s="21">
        <v>10</v>
      </c>
    </row>
    <row r="93" spans="1:2" x14ac:dyDescent="0.3">
      <c r="A93" s="5" t="s">
        <v>907</v>
      </c>
      <c r="B93" s="21">
        <v>6</v>
      </c>
    </row>
    <row r="94" spans="1:2" x14ac:dyDescent="0.3">
      <c r="A94" s="5" t="s">
        <v>908</v>
      </c>
      <c r="B94" s="21">
        <v>7</v>
      </c>
    </row>
    <row r="95" spans="1:2" x14ac:dyDescent="0.3">
      <c r="A95" s="5" t="s">
        <v>856</v>
      </c>
      <c r="B95" s="21">
        <v>5</v>
      </c>
    </row>
    <row r="96" spans="1:2" x14ac:dyDescent="0.3">
      <c r="A96" s="5" t="s">
        <v>909</v>
      </c>
      <c r="B96" s="21">
        <v>1</v>
      </c>
    </row>
    <row r="97" spans="1:2" x14ac:dyDescent="0.3">
      <c r="A97" s="5" t="s">
        <v>910</v>
      </c>
      <c r="B97" s="21">
        <v>2</v>
      </c>
    </row>
    <row r="98" spans="1:2" x14ac:dyDescent="0.3">
      <c r="A98" s="5" t="s">
        <v>911</v>
      </c>
      <c r="B98" s="21">
        <v>4</v>
      </c>
    </row>
    <row r="99" spans="1:2" x14ac:dyDescent="0.3">
      <c r="A99" s="5" t="s">
        <v>912</v>
      </c>
      <c r="B99" s="21">
        <v>6</v>
      </c>
    </row>
    <row r="100" spans="1:2" x14ac:dyDescent="0.3">
      <c r="A100" s="5" t="s">
        <v>913</v>
      </c>
      <c r="B100" s="21">
        <v>9</v>
      </c>
    </row>
    <row r="101" spans="1:2" x14ac:dyDescent="0.3">
      <c r="A101" s="5" t="s">
        <v>914</v>
      </c>
      <c r="B101" s="21">
        <v>6</v>
      </c>
    </row>
    <row r="102" spans="1:2" x14ac:dyDescent="0.3">
      <c r="A102" s="5" t="s">
        <v>915</v>
      </c>
      <c r="B102" s="21">
        <v>5</v>
      </c>
    </row>
    <row r="104" spans="1:2" x14ac:dyDescent="0.3">
      <c r="A104" t="s">
        <v>823</v>
      </c>
    </row>
    <row r="106" spans="1:2" x14ac:dyDescent="0.3">
      <c r="A106" s="7" t="s">
        <v>916</v>
      </c>
      <c r="B106" s="5" t="s">
        <v>917</v>
      </c>
    </row>
    <row r="107" spans="1:2" x14ac:dyDescent="0.3">
      <c r="A107" s="5" t="s">
        <v>862</v>
      </c>
      <c r="B107" s="16">
        <v>8039.428736581136</v>
      </c>
    </row>
    <row r="108" spans="1:2" x14ac:dyDescent="0.3">
      <c r="A108" s="5" t="s">
        <v>863</v>
      </c>
      <c r="B108" s="16">
        <v>5723.9204341487703</v>
      </c>
    </row>
    <row r="109" spans="1:2" x14ac:dyDescent="0.3">
      <c r="A109" s="5" t="s">
        <v>827</v>
      </c>
      <c r="B109" s="16">
        <v>9798.5230096464675</v>
      </c>
    </row>
    <row r="110" spans="1:2" x14ac:dyDescent="0.3">
      <c r="A110" s="5" t="s">
        <v>864</v>
      </c>
      <c r="B110" s="16">
        <v>3609.8116370931098</v>
      </c>
    </row>
    <row r="111" spans="1:2" x14ac:dyDescent="0.3">
      <c r="A111" s="5" t="s">
        <v>865</v>
      </c>
      <c r="B111" s="16">
        <v>8108.1318102647629</v>
      </c>
    </row>
    <row r="112" spans="1:2" x14ac:dyDescent="0.3">
      <c r="A112" s="5" t="s">
        <v>828</v>
      </c>
      <c r="B112" s="16">
        <v>3394.3160180391606</v>
      </c>
    </row>
    <row r="113" spans="1:2" x14ac:dyDescent="0.3">
      <c r="A113" s="5" t="s">
        <v>829</v>
      </c>
      <c r="B113" s="16">
        <v>7738.5193576691663</v>
      </c>
    </row>
    <row r="114" spans="1:2" x14ac:dyDescent="0.3">
      <c r="A114" s="5" t="s">
        <v>830</v>
      </c>
      <c r="B114" s="16">
        <v>4240.9597763750307</v>
      </c>
    </row>
    <row r="115" spans="1:2" x14ac:dyDescent="0.3">
      <c r="A115" s="5" t="s">
        <v>866</v>
      </c>
      <c r="B115" s="16">
        <v>3001.1811564948771</v>
      </c>
    </row>
    <row r="116" spans="1:2" x14ac:dyDescent="0.3">
      <c r="A116" s="5" t="s">
        <v>831</v>
      </c>
      <c r="B116" s="16">
        <v>20237.562855201708</v>
      </c>
    </row>
    <row r="117" spans="1:2" x14ac:dyDescent="0.3">
      <c r="A117" s="5" t="s">
        <v>832</v>
      </c>
      <c r="B117" s="16">
        <v>15330.513240822402</v>
      </c>
    </row>
    <row r="118" spans="1:2" x14ac:dyDescent="0.3">
      <c r="A118" s="5" t="s">
        <v>833</v>
      </c>
      <c r="B118" s="16">
        <v>6607.5079797708977</v>
      </c>
    </row>
    <row r="119" spans="1:2" x14ac:dyDescent="0.3">
      <c r="A119" s="5" t="s">
        <v>834</v>
      </c>
      <c r="B119" s="16">
        <v>13307.531224947767</v>
      </c>
    </row>
    <row r="120" spans="1:2" x14ac:dyDescent="0.3">
      <c r="A120" s="5" t="s">
        <v>835</v>
      </c>
      <c r="B120" s="16">
        <v>10519.397277545311</v>
      </c>
    </row>
    <row r="121" spans="1:2" x14ac:dyDescent="0.3">
      <c r="A121" s="5" t="s">
        <v>867</v>
      </c>
      <c r="B121" s="16">
        <v>5600.0571015897995</v>
      </c>
    </row>
    <row r="122" spans="1:2" x14ac:dyDescent="0.3">
      <c r="A122" s="5" t="s">
        <v>836</v>
      </c>
      <c r="B122" s="16">
        <v>14543.258670132631</v>
      </c>
    </row>
    <row r="123" spans="1:2" x14ac:dyDescent="0.3">
      <c r="A123" s="5" t="s">
        <v>868</v>
      </c>
      <c r="B123" s="16">
        <v>5894.7608255318628</v>
      </c>
    </row>
    <row r="124" spans="1:2" x14ac:dyDescent="0.3">
      <c r="A124" s="5" t="s">
        <v>869</v>
      </c>
      <c r="B124" s="16">
        <v>5263.6186032866472</v>
      </c>
    </row>
    <row r="125" spans="1:2" x14ac:dyDescent="0.3">
      <c r="A125" s="5" t="s">
        <v>870</v>
      </c>
      <c r="B125" s="16">
        <v>7809.1609973545919</v>
      </c>
    </row>
    <row r="126" spans="1:2" x14ac:dyDescent="0.3">
      <c r="A126" s="5" t="s">
        <v>871</v>
      </c>
      <c r="B126" s="16">
        <v>2543.7230540906694</v>
      </c>
    </row>
    <row r="127" spans="1:2" x14ac:dyDescent="0.3">
      <c r="A127" s="5" t="s">
        <v>872</v>
      </c>
      <c r="B127" s="16">
        <v>7917.2349061202513</v>
      </c>
    </row>
    <row r="128" spans="1:2" x14ac:dyDescent="0.3">
      <c r="A128" s="5" t="s">
        <v>873</v>
      </c>
      <c r="B128" s="16">
        <v>5493.5980942077013</v>
      </c>
    </row>
    <row r="129" spans="1:2" x14ac:dyDescent="0.3">
      <c r="A129" s="5" t="s">
        <v>874</v>
      </c>
      <c r="B129" s="16">
        <v>5587.9935336906783</v>
      </c>
    </row>
    <row r="130" spans="1:2" x14ac:dyDescent="0.3">
      <c r="A130" s="5" t="s">
        <v>875</v>
      </c>
      <c r="B130" s="16">
        <v>7055.7441714997994</v>
      </c>
    </row>
    <row r="131" spans="1:2" x14ac:dyDescent="0.3">
      <c r="A131" s="5" t="s">
        <v>876</v>
      </c>
      <c r="B131" s="16">
        <v>5741.6493272599537</v>
      </c>
    </row>
    <row r="132" spans="1:2" x14ac:dyDescent="0.3">
      <c r="A132" s="5" t="s">
        <v>877</v>
      </c>
      <c r="B132" s="16">
        <v>5478.5884465634826</v>
      </c>
    </row>
    <row r="133" spans="1:2" x14ac:dyDescent="0.3">
      <c r="A133" s="5" t="s">
        <v>837</v>
      </c>
      <c r="B133" s="16">
        <v>8182.7024770862754</v>
      </c>
    </row>
    <row r="134" spans="1:2" x14ac:dyDescent="0.3">
      <c r="A134" s="5" t="s">
        <v>838</v>
      </c>
      <c r="B134" s="16">
        <v>11476.092302435971</v>
      </c>
    </row>
    <row r="135" spans="1:2" x14ac:dyDescent="0.3">
      <c r="A135" s="5" t="s">
        <v>878</v>
      </c>
      <c r="B135" s="16">
        <v>5497.8168777701785</v>
      </c>
    </row>
    <row r="136" spans="1:2" x14ac:dyDescent="0.3">
      <c r="A136" s="5" t="s">
        <v>879</v>
      </c>
      <c r="B136" s="16">
        <v>14504.448331392159</v>
      </c>
    </row>
    <row r="137" spans="1:2" x14ac:dyDescent="0.3">
      <c r="A137" s="5" t="s">
        <v>839</v>
      </c>
      <c r="B137" s="16">
        <v>7922.3857087079577</v>
      </c>
    </row>
    <row r="138" spans="1:2" x14ac:dyDescent="0.3">
      <c r="A138" s="5" t="s">
        <v>840</v>
      </c>
      <c r="B138" s="16">
        <v>7221.8781135384124</v>
      </c>
    </row>
    <row r="139" spans="1:2" x14ac:dyDescent="0.3">
      <c r="A139" s="5" t="s">
        <v>880</v>
      </c>
      <c r="B139" s="16">
        <v>3193.1407027766149</v>
      </c>
    </row>
    <row r="140" spans="1:2" x14ac:dyDescent="0.3">
      <c r="A140" s="5" t="s">
        <v>841</v>
      </c>
      <c r="B140" s="16">
        <v>7942.7056378408579</v>
      </c>
    </row>
    <row r="141" spans="1:2" x14ac:dyDescent="0.3">
      <c r="A141" s="5" t="s">
        <v>881</v>
      </c>
      <c r="B141" s="16">
        <v>8704.6545674939935</v>
      </c>
    </row>
    <row r="142" spans="1:2" x14ac:dyDescent="0.3">
      <c r="A142" s="5" t="s">
        <v>882</v>
      </c>
      <c r="B142" s="16">
        <v>7596.658976863022</v>
      </c>
    </row>
    <row r="143" spans="1:2" x14ac:dyDescent="0.3">
      <c r="A143" s="5" t="s">
        <v>842</v>
      </c>
      <c r="B143" s="16">
        <v>7634.6896407439617</v>
      </c>
    </row>
    <row r="144" spans="1:2" x14ac:dyDescent="0.3">
      <c r="A144" s="5" t="s">
        <v>843</v>
      </c>
      <c r="B144" s="16">
        <v>10440.245060001203</v>
      </c>
    </row>
    <row r="145" spans="1:2" x14ac:dyDescent="0.3">
      <c r="A145" s="5" t="s">
        <v>844</v>
      </c>
      <c r="B145" s="16">
        <v>9306.9553227515462</v>
      </c>
    </row>
    <row r="146" spans="1:2" x14ac:dyDescent="0.3">
      <c r="A146" s="5" t="s">
        <v>845</v>
      </c>
      <c r="B146" s="16">
        <v>4400.2932154839737</v>
      </c>
    </row>
    <row r="147" spans="1:2" x14ac:dyDescent="0.3">
      <c r="A147" s="5" t="s">
        <v>846</v>
      </c>
      <c r="B147" s="16">
        <v>2731.1232010463586</v>
      </c>
    </row>
    <row r="148" spans="1:2" x14ac:dyDescent="0.3">
      <c r="A148" s="5" t="s">
        <v>883</v>
      </c>
      <c r="B148" s="16">
        <v>1758.1314443837773</v>
      </c>
    </row>
    <row r="149" spans="1:2" x14ac:dyDescent="0.3">
      <c r="A149" s="5" t="s">
        <v>884</v>
      </c>
      <c r="B149" s="16">
        <v>5096.2003534119831</v>
      </c>
    </row>
    <row r="150" spans="1:2" x14ac:dyDescent="0.3">
      <c r="A150" s="5" t="s">
        <v>885</v>
      </c>
      <c r="B150" s="16">
        <v>5817.0962666666755</v>
      </c>
    </row>
    <row r="151" spans="1:2" x14ac:dyDescent="0.3">
      <c r="A151" s="5" t="s">
        <v>847</v>
      </c>
      <c r="B151" s="16">
        <v>2649.6410138122242</v>
      </c>
    </row>
    <row r="152" spans="1:2" x14ac:dyDescent="0.3">
      <c r="A152" s="5" t="s">
        <v>848</v>
      </c>
      <c r="B152" s="16">
        <v>3058.4983994629461</v>
      </c>
    </row>
    <row r="153" spans="1:2" x14ac:dyDescent="0.3">
      <c r="A153" s="5" t="s">
        <v>886</v>
      </c>
      <c r="B153" s="16">
        <v>918.47160512084474</v>
      </c>
    </row>
    <row r="154" spans="1:2" x14ac:dyDescent="0.3">
      <c r="A154" s="5" t="s">
        <v>887</v>
      </c>
      <c r="B154" s="16">
        <v>4971.1681865661176</v>
      </c>
    </row>
    <row r="155" spans="1:2" x14ac:dyDescent="0.3">
      <c r="A155" s="5" t="s">
        <v>888</v>
      </c>
      <c r="B155" s="16">
        <v>1668.6060500762494</v>
      </c>
    </row>
    <row r="156" spans="1:2" x14ac:dyDescent="0.3">
      <c r="A156" s="5" t="s">
        <v>889</v>
      </c>
      <c r="B156" s="16">
        <v>2392.2123360513619</v>
      </c>
    </row>
    <row r="157" spans="1:2" x14ac:dyDescent="0.3">
      <c r="A157" s="5" t="s">
        <v>890</v>
      </c>
      <c r="B157" s="16">
        <v>1287.4462556476767</v>
      </c>
    </row>
    <row r="158" spans="1:2" x14ac:dyDescent="0.3">
      <c r="A158" s="5" t="s">
        <v>891</v>
      </c>
      <c r="B158" s="16">
        <v>2023.7828540683242</v>
      </c>
    </row>
    <row r="159" spans="1:2" x14ac:dyDescent="0.3">
      <c r="A159" s="5" t="s">
        <v>892</v>
      </c>
      <c r="B159" s="16">
        <v>1282.6052077095828</v>
      </c>
    </row>
    <row r="160" spans="1:2" x14ac:dyDescent="0.3">
      <c r="A160" s="5" t="s">
        <v>893</v>
      </c>
      <c r="B160" s="16">
        <v>1358.6571211867647</v>
      </c>
    </row>
    <row r="161" spans="1:2" x14ac:dyDescent="0.3">
      <c r="A161" s="5" t="s">
        <v>894</v>
      </c>
      <c r="B161" s="16">
        <v>1529.3510985985431</v>
      </c>
    </row>
    <row r="162" spans="1:2" x14ac:dyDescent="0.3">
      <c r="A162" s="5" t="s">
        <v>895</v>
      </c>
      <c r="B162" s="16">
        <v>4370.380581814341</v>
      </c>
    </row>
    <row r="163" spans="1:2" x14ac:dyDescent="0.3">
      <c r="A163" s="5" t="s">
        <v>849</v>
      </c>
      <c r="B163" s="16">
        <v>1669.6001778910695</v>
      </c>
    </row>
    <row r="164" spans="1:2" x14ac:dyDescent="0.3">
      <c r="A164" s="5" t="s">
        <v>896</v>
      </c>
      <c r="B164" s="16">
        <v>1798.6134533438385</v>
      </c>
    </row>
    <row r="165" spans="1:2" x14ac:dyDescent="0.3">
      <c r="A165" s="5" t="s">
        <v>897</v>
      </c>
      <c r="B165" s="16">
        <v>2971.4353520250916</v>
      </c>
    </row>
    <row r="166" spans="1:2" x14ac:dyDescent="0.3">
      <c r="A166" s="5" t="s">
        <v>898</v>
      </c>
      <c r="B166" s="16">
        <v>1257.7946644887065</v>
      </c>
    </row>
    <row r="167" spans="1:2" x14ac:dyDescent="0.3">
      <c r="A167" s="5" t="s">
        <v>850</v>
      </c>
      <c r="B167" s="16">
        <v>3208.0028225517708</v>
      </c>
    </row>
    <row r="168" spans="1:2" x14ac:dyDescent="0.3">
      <c r="A168" s="5" t="s">
        <v>851</v>
      </c>
      <c r="B168" s="16">
        <v>2704.6903235703257</v>
      </c>
    </row>
    <row r="169" spans="1:2" x14ac:dyDescent="0.3">
      <c r="A169" s="5" t="s">
        <v>899</v>
      </c>
      <c r="B169" s="16">
        <v>3336.7629765382239</v>
      </c>
    </row>
    <row r="170" spans="1:2" x14ac:dyDescent="0.3">
      <c r="A170" s="5" t="s">
        <v>852</v>
      </c>
      <c r="B170" s="16">
        <v>3254.8795559300097</v>
      </c>
    </row>
    <row r="171" spans="1:2" x14ac:dyDescent="0.3">
      <c r="A171" s="5" t="s">
        <v>900</v>
      </c>
      <c r="B171" s="16">
        <v>4056.4401015507738</v>
      </c>
    </row>
    <row r="172" spans="1:2" x14ac:dyDescent="0.3">
      <c r="A172" s="5" t="s">
        <v>901</v>
      </c>
      <c r="B172" s="16">
        <v>1602.1727023659555</v>
      </c>
    </row>
    <row r="173" spans="1:2" x14ac:dyDescent="0.3">
      <c r="A173" s="5" t="s">
        <v>902</v>
      </c>
      <c r="B173" s="16">
        <v>4266.9730275577776</v>
      </c>
    </row>
    <row r="174" spans="1:2" x14ac:dyDescent="0.3">
      <c r="A174" s="5" t="s">
        <v>903</v>
      </c>
      <c r="B174" s="16">
        <v>3885.5772865415065</v>
      </c>
    </row>
    <row r="175" spans="1:2" x14ac:dyDescent="0.3">
      <c r="A175" s="5" t="s">
        <v>904</v>
      </c>
      <c r="B175" s="16">
        <v>3119.9947158389946</v>
      </c>
    </row>
    <row r="176" spans="1:2" x14ac:dyDescent="0.3">
      <c r="A176" s="5" t="s">
        <v>905</v>
      </c>
      <c r="B176" s="16">
        <v>3209.4029964477299</v>
      </c>
    </row>
    <row r="177" spans="1:2" x14ac:dyDescent="0.3">
      <c r="A177" s="5" t="s">
        <v>906</v>
      </c>
      <c r="B177" s="16">
        <v>2072.805466323985</v>
      </c>
    </row>
    <row r="178" spans="1:2" x14ac:dyDescent="0.3">
      <c r="A178" s="5" t="s">
        <v>853</v>
      </c>
      <c r="B178" s="16">
        <v>2556.5167805938354</v>
      </c>
    </row>
    <row r="179" spans="1:2" x14ac:dyDescent="0.3">
      <c r="A179" s="5" t="s">
        <v>854</v>
      </c>
      <c r="B179" s="16">
        <v>5400.7766321346589</v>
      </c>
    </row>
    <row r="180" spans="1:2" x14ac:dyDescent="0.3">
      <c r="A180" s="5" t="s">
        <v>855</v>
      </c>
      <c r="B180" s="16">
        <v>5889.4756086742027</v>
      </c>
    </row>
    <row r="181" spans="1:2" x14ac:dyDescent="0.3">
      <c r="A181" s="5" t="s">
        <v>907</v>
      </c>
      <c r="B181" s="16">
        <v>3014.7686307916169</v>
      </c>
    </row>
    <row r="182" spans="1:2" x14ac:dyDescent="0.3">
      <c r="A182" s="5" t="s">
        <v>908</v>
      </c>
      <c r="B182" s="16">
        <v>3947.4331926330588</v>
      </c>
    </row>
    <row r="183" spans="1:2" x14ac:dyDescent="0.3">
      <c r="A183" s="5" t="s">
        <v>856</v>
      </c>
      <c r="B183" s="16">
        <v>2510.637039625251</v>
      </c>
    </row>
    <row r="184" spans="1:2" x14ac:dyDescent="0.3">
      <c r="A184" s="5" t="s">
        <v>909</v>
      </c>
      <c r="B184" s="16">
        <v>519.33041944949412</v>
      </c>
    </row>
    <row r="185" spans="1:2" x14ac:dyDescent="0.3">
      <c r="A185" s="5" t="s">
        <v>910</v>
      </c>
      <c r="B185" s="16">
        <v>714.05158145790961</v>
      </c>
    </row>
    <row r="186" spans="1:2" x14ac:dyDescent="0.3">
      <c r="A186" s="5" t="s">
        <v>911</v>
      </c>
      <c r="B186" s="16">
        <v>1917.6949501787626</v>
      </c>
    </row>
    <row r="187" spans="1:2" x14ac:dyDescent="0.3">
      <c r="A187" s="5" t="s">
        <v>912</v>
      </c>
      <c r="B187" s="16">
        <v>2978.4119555538323</v>
      </c>
    </row>
    <row r="188" spans="1:2" x14ac:dyDescent="0.3">
      <c r="A188" s="5" t="s">
        <v>913</v>
      </c>
      <c r="B188" s="16">
        <v>5016.5317705183361</v>
      </c>
    </row>
    <row r="189" spans="1:2" x14ac:dyDescent="0.3">
      <c r="A189" s="5" t="s">
        <v>914</v>
      </c>
      <c r="B189" s="16">
        <v>3069.1824438470567</v>
      </c>
    </row>
    <row r="190" spans="1:2" x14ac:dyDescent="0.3">
      <c r="A190" s="5" t="s">
        <v>915</v>
      </c>
      <c r="B190" s="16">
        <v>2411.8208681750866</v>
      </c>
    </row>
    <row r="192" spans="1:2" x14ac:dyDescent="0.3">
      <c r="A192" t="s">
        <v>824</v>
      </c>
    </row>
    <row r="194" spans="1:2" x14ac:dyDescent="0.3">
      <c r="A194" s="7" t="s">
        <v>826</v>
      </c>
      <c r="B194" s="5" t="s">
        <v>917</v>
      </c>
    </row>
    <row r="195" spans="1:2" x14ac:dyDescent="0.3">
      <c r="A195" s="5" t="s">
        <v>64</v>
      </c>
      <c r="B195" s="16">
        <v>18603.602954581624</v>
      </c>
    </row>
    <row r="196" spans="1:2" x14ac:dyDescent="0.3">
      <c r="A196" s="5" t="s">
        <v>60</v>
      </c>
      <c r="B196" s="16">
        <v>92342.657111009161</v>
      </c>
    </row>
    <row r="197" spans="1:2" x14ac:dyDescent="0.3">
      <c r="A197" s="5" t="s">
        <v>61</v>
      </c>
      <c r="B197" s="16">
        <v>98668.692637961198</v>
      </c>
    </row>
    <row r="198" spans="1:2" x14ac:dyDescent="0.3">
      <c r="A198" s="5" t="s">
        <v>62</v>
      </c>
      <c r="B198" s="16">
        <v>91958.287466710724</v>
      </c>
    </row>
    <row r="199" spans="1:2" x14ac:dyDescent="0.3">
      <c r="A199" s="5" t="s">
        <v>63</v>
      </c>
      <c r="B199" s="16">
        <v>40345.590475677382</v>
      </c>
    </row>
    <row r="200" spans="1:2" x14ac:dyDescent="0.3">
      <c r="A200" s="5" t="s">
        <v>59</v>
      </c>
      <c r="B200" s="16">
        <v>95967.678007097289</v>
      </c>
    </row>
    <row r="202" spans="1:2" x14ac:dyDescent="0.3">
      <c r="A202" t="s">
        <v>825</v>
      </c>
    </row>
    <row r="204" spans="1:2" x14ac:dyDescent="0.3">
      <c r="A204" s="7" t="s">
        <v>65</v>
      </c>
      <c r="B204" s="5" t="s">
        <v>922</v>
      </c>
    </row>
    <row r="205" spans="1:2" x14ac:dyDescent="0.3">
      <c r="A205" s="5" t="s">
        <v>66</v>
      </c>
      <c r="B205" s="21">
        <v>403</v>
      </c>
    </row>
    <row r="206" spans="1:2" x14ac:dyDescent="0.3">
      <c r="A206" s="5" t="s">
        <v>67</v>
      </c>
      <c r="B206" s="21">
        <v>391</v>
      </c>
    </row>
    <row r="208" spans="1:2" x14ac:dyDescent="0.3">
      <c r="A208" s="14" t="s">
        <v>65</v>
      </c>
      <c r="B208" s="15" t="s">
        <v>927</v>
      </c>
    </row>
    <row r="209" spans="1:2" x14ac:dyDescent="0.3">
      <c r="A209" s="15" t="s">
        <v>66</v>
      </c>
      <c r="B209" s="22">
        <v>2418</v>
      </c>
    </row>
    <row r="210" spans="1:2" x14ac:dyDescent="0.3">
      <c r="A210" s="15" t="s">
        <v>67</v>
      </c>
      <c r="B210" s="22">
        <v>2310</v>
      </c>
    </row>
    <row r="212" spans="1:2" x14ac:dyDescent="0.3">
      <c r="A212" s="7" t="s">
        <v>65</v>
      </c>
      <c r="B212" s="5" t="s">
        <v>917</v>
      </c>
    </row>
    <row r="213" spans="1:2" x14ac:dyDescent="0.3">
      <c r="A213" s="5" t="s">
        <v>66</v>
      </c>
      <c r="B213" s="16">
        <v>221301.91556367281</v>
      </c>
    </row>
    <row r="214" spans="1:2" x14ac:dyDescent="0.3">
      <c r="A214" s="5" t="s">
        <v>67</v>
      </c>
      <c r="B214" s="16">
        <v>216584.59308936432</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41E1B-E5CB-4843-8477-76862FA1EE3F}">
  <dimension ref="B1:AE102"/>
  <sheetViews>
    <sheetView tabSelected="1" zoomScale="55" zoomScaleNormal="55" workbookViewId="0">
      <selection activeCell="AH40" sqref="AH40"/>
    </sheetView>
  </sheetViews>
  <sheetFormatPr defaultRowHeight="14.4" x14ac:dyDescent="0.3"/>
  <cols>
    <col min="1" max="16384" width="8.88671875" style="12"/>
  </cols>
  <sheetData>
    <row r="1" spans="2:31" s="9" customFormat="1" ht="16.8" customHeight="1" x14ac:dyDescent="0.3">
      <c r="B1" s="10"/>
      <c r="C1" s="10"/>
      <c r="D1" s="10"/>
      <c r="E1" s="10"/>
      <c r="F1" s="10"/>
      <c r="G1" s="10"/>
      <c r="H1" s="10"/>
      <c r="I1" s="10"/>
      <c r="J1" s="10"/>
      <c r="K1" s="10"/>
      <c r="L1" s="11"/>
      <c r="M1" s="10"/>
      <c r="N1" s="10"/>
      <c r="O1" s="10"/>
      <c r="P1" s="10"/>
      <c r="Q1" s="10"/>
      <c r="R1" s="10"/>
      <c r="S1" s="10"/>
      <c r="T1" s="10"/>
      <c r="U1" s="10"/>
      <c r="V1" s="10"/>
      <c r="W1" s="10"/>
      <c r="X1" s="10"/>
      <c r="Y1" s="10"/>
      <c r="Z1" s="10"/>
      <c r="AA1" s="10"/>
      <c r="AB1" s="10"/>
      <c r="AC1" s="10"/>
      <c r="AD1" s="10"/>
      <c r="AE1" s="10"/>
    </row>
    <row r="2" spans="2:31" s="9" customFormat="1" ht="47.4" x14ac:dyDescent="0.3">
      <c r="B2" s="23" t="s">
        <v>920</v>
      </c>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row>
    <row r="3" spans="2:31" s="9" customFormat="1" ht="21" x14ac:dyDescent="0.4">
      <c r="B3" s="19" t="s">
        <v>921</v>
      </c>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row>
    <row r="4" spans="2:31" s="9" customFormat="1" x14ac:dyDescent="0.3">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row>
    <row r="5" spans="2:31" s="9" customFormat="1" x14ac:dyDescent="0.3">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row>
    <row r="6" spans="2:31" s="9" customFormat="1" x14ac:dyDescent="0.3">
      <c r="B6" s="26" t="s">
        <v>923</v>
      </c>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row>
    <row r="7" spans="2:31" s="9" customFormat="1" x14ac:dyDescent="0.3">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row>
    <row r="8" spans="2:31" s="9" customFormat="1" ht="31.2" customHeight="1" x14ac:dyDescent="0.3">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row>
    <row r="9" spans="2:31" s="9" customFormat="1" x14ac:dyDescent="0.3">
      <c r="B9" s="26"/>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row>
    <row r="10" spans="2:31" s="9" customFormat="1" x14ac:dyDescent="0.3">
      <c r="B10" s="8"/>
      <c r="C10" s="8"/>
      <c r="D10" s="8"/>
      <c r="E10" s="27">
        <f>GETPIVOTDATA("Total Orders",Pivots!$A$3)</f>
        <v>794</v>
      </c>
      <c r="F10" s="28"/>
      <c r="G10" s="28"/>
      <c r="H10" s="28"/>
      <c r="I10" s="28"/>
      <c r="J10" s="29"/>
      <c r="K10" s="36">
        <f>GETPIVOTDATA("Total Revenue",Pivots!$A$3)</f>
        <v>437886.5086530369</v>
      </c>
      <c r="L10" s="37"/>
      <c r="M10" s="37"/>
      <c r="N10" s="37"/>
      <c r="O10" s="37"/>
      <c r="P10" s="38"/>
      <c r="Q10" s="36">
        <f>GETPIVOTDATA("Average Revenue",Pivots!$A$3)</f>
        <v>551.49434339173411</v>
      </c>
      <c r="R10" s="37"/>
      <c r="S10" s="37"/>
      <c r="T10" s="37"/>
      <c r="U10" s="37"/>
      <c r="V10" s="38"/>
      <c r="W10" s="45">
        <f>GETPIVOTDATA("Average Discount",Pivots!$A$3)</f>
        <v>0.48046769138866979</v>
      </c>
      <c r="X10" s="46"/>
      <c r="Y10" s="46"/>
      <c r="Z10" s="46"/>
      <c r="AA10" s="46"/>
      <c r="AB10" s="47"/>
      <c r="AC10" s="13"/>
      <c r="AD10" s="13"/>
      <c r="AE10" s="13"/>
    </row>
    <row r="11" spans="2:31" s="9" customFormat="1" ht="14.4" customHeight="1" x14ac:dyDescent="0.85">
      <c r="B11" s="8"/>
      <c r="C11" s="24"/>
      <c r="D11" s="25"/>
      <c r="E11" s="30"/>
      <c r="F11" s="31"/>
      <c r="G11" s="31"/>
      <c r="H11" s="31"/>
      <c r="I11" s="31"/>
      <c r="J11" s="32"/>
      <c r="K11" s="39"/>
      <c r="L11" s="40"/>
      <c r="M11" s="40"/>
      <c r="N11" s="40"/>
      <c r="O11" s="40"/>
      <c r="P11" s="41"/>
      <c r="Q11" s="39"/>
      <c r="R11" s="40"/>
      <c r="S11" s="40"/>
      <c r="T11" s="40"/>
      <c r="U11" s="40"/>
      <c r="V11" s="41"/>
      <c r="W11" s="48"/>
      <c r="X11" s="49"/>
      <c r="Y11" s="49"/>
      <c r="Z11" s="49"/>
      <c r="AA11" s="49"/>
      <c r="AB11" s="50"/>
      <c r="AC11" s="13"/>
      <c r="AD11" s="13"/>
      <c r="AE11" s="13"/>
    </row>
    <row r="12" spans="2:31" s="9" customFormat="1" ht="14.4" customHeight="1" x14ac:dyDescent="0.85">
      <c r="B12" s="8"/>
      <c r="C12" s="25"/>
      <c r="D12" s="25"/>
      <c r="E12" s="30"/>
      <c r="F12" s="31"/>
      <c r="G12" s="31"/>
      <c r="H12" s="31"/>
      <c r="I12" s="31"/>
      <c r="J12" s="32"/>
      <c r="K12" s="39"/>
      <c r="L12" s="40"/>
      <c r="M12" s="40"/>
      <c r="N12" s="40"/>
      <c r="O12" s="40"/>
      <c r="P12" s="41"/>
      <c r="Q12" s="39"/>
      <c r="R12" s="40"/>
      <c r="S12" s="40"/>
      <c r="T12" s="40"/>
      <c r="U12" s="40"/>
      <c r="V12" s="41"/>
      <c r="W12" s="48"/>
      <c r="X12" s="49"/>
      <c r="Y12" s="49"/>
      <c r="Z12" s="49"/>
      <c r="AA12" s="49"/>
      <c r="AB12" s="50"/>
      <c r="AC12" s="13"/>
      <c r="AD12" s="13"/>
      <c r="AE12" s="13"/>
    </row>
    <row r="13" spans="2:31" s="9" customFormat="1" ht="14.4" customHeight="1" x14ac:dyDescent="0.85">
      <c r="B13" s="8"/>
      <c r="C13" s="25"/>
      <c r="D13" s="25"/>
      <c r="E13" s="30"/>
      <c r="F13" s="31"/>
      <c r="G13" s="31"/>
      <c r="H13" s="31"/>
      <c r="I13" s="31"/>
      <c r="J13" s="32"/>
      <c r="K13" s="39"/>
      <c r="L13" s="40"/>
      <c r="M13" s="40"/>
      <c r="N13" s="40"/>
      <c r="O13" s="40"/>
      <c r="P13" s="41"/>
      <c r="Q13" s="39"/>
      <c r="R13" s="40"/>
      <c r="S13" s="40"/>
      <c r="T13" s="40"/>
      <c r="U13" s="40"/>
      <c r="V13" s="41"/>
      <c r="W13" s="48"/>
      <c r="X13" s="49"/>
      <c r="Y13" s="49"/>
      <c r="Z13" s="49"/>
      <c r="AA13" s="49"/>
      <c r="AB13" s="50"/>
      <c r="AC13" s="13"/>
      <c r="AD13" s="13"/>
      <c r="AE13" s="13"/>
    </row>
    <row r="14" spans="2:31" s="9" customFormat="1" ht="14.4" customHeight="1" x14ac:dyDescent="0.85">
      <c r="B14" s="8"/>
      <c r="C14" s="25"/>
      <c r="D14" s="25"/>
      <c r="E14" s="30"/>
      <c r="F14" s="31"/>
      <c r="G14" s="31"/>
      <c r="H14" s="31"/>
      <c r="I14" s="31"/>
      <c r="J14" s="32"/>
      <c r="K14" s="39"/>
      <c r="L14" s="40"/>
      <c r="M14" s="40"/>
      <c r="N14" s="40"/>
      <c r="O14" s="40"/>
      <c r="P14" s="41"/>
      <c r="Q14" s="39"/>
      <c r="R14" s="40"/>
      <c r="S14" s="40"/>
      <c r="T14" s="40"/>
      <c r="U14" s="40"/>
      <c r="V14" s="41"/>
      <c r="W14" s="48"/>
      <c r="X14" s="49"/>
      <c r="Y14" s="49"/>
      <c r="Z14" s="49"/>
      <c r="AA14" s="49"/>
      <c r="AB14" s="50"/>
      <c r="AC14" s="13"/>
      <c r="AD14" s="13"/>
      <c r="AE14" s="13"/>
    </row>
    <row r="15" spans="2:31" s="9" customFormat="1" ht="14.4" customHeight="1" x14ac:dyDescent="0.85">
      <c r="B15" s="8"/>
      <c r="C15" s="25"/>
      <c r="D15" s="25"/>
      <c r="E15" s="30"/>
      <c r="F15" s="31"/>
      <c r="G15" s="31"/>
      <c r="H15" s="31"/>
      <c r="I15" s="31"/>
      <c r="J15" s="32"/>
      <c r="K15" s="39"/>
      <c r="L15" s="40"/>
      <c r="M15" s="40"/>
      <c r="N15" s="40"/>
      <c r="O15" s="40"/>
      <c r="P15" s="41"/>
      <c r="Q15" s="39"/>
      <c r="R15" s="40"/>
      <c r="S15" s="40"/>
      <c r="T15" s="40"/>
      <c r="U15" s="40"/>
      <c r="V15" s="41"/>
      <c r="W15" s="48"/>
      <c r="X15" s="49"/>
      <c r="Y15" s="49"/>
      <c r="Z15" s="49"/>
      <c r="AA15" s="49"/>
      <c r="AB15" s="50"/>
      <c r="AC15" s="13"/>
      <c r="AD15" s="13"/>
      <c r="AE15" s="13"/>
    </row>
    <row r="16" spans="2:31" s="9" customFormat="1" ht="14.4" customHeight="1" x14ac:dyDescent="0.85">
      <c r="B16" s="8"/>
      <c r="C16" s="25"/>
      <c r="D16" s="25"/>
      <c r="E16" s="30"/>
      <c r="F16" s="31"/>
      <c r="G16" s="31"/>
      <c r="H16" s="31"/>
      <c r="I16" s="31"/>
      <c r="J16" s="32"/>
      <c r="K16" s="39"/>
      <c r="L16" s="40"/>
      <c r="M16" s="40"/>
      <c r="N16" s="40"/>
      <c r="O16" s="40"/>
      <c r="P16" s="41"/>
      <c r="Q16" s="39"/>
      <c r="R16" s="40"/>
      <c r="S16" s="40"/>
      <c r="T16" s="40"/>
      <c r="U16" s="40"/>
      <c r="V16" s="41"/>
      <c r="W16" s="48"/>
      <c r="X16" s="49"/>
      <c r="Y16" s="49"/>
      <c r="Z16" s="49"/>
      <c r="AA16" s="49"/>
      <c r="AB16" s="50"/>
      <c r="AC16" s="13"/>
      <c r="AD16" s="13"/>
      <c r="AE16" s="13"/>
    </row>
    <row r="17" spans="2:31" s="9" customFormat="1" ht="14.4" customHeight="1" x14ac:dyDescent="0.85">
      <c r="B17" s="8"/>
      <c r="C17" s="25"/>
      <c r="D17" s="25"/>
      <c r="E17" s="30"/>
      <c r="F17" s="31"/>
      <c r="G17" s="31"/>
      <c r="H17" s="31"/>
      <c r="I17" s="31"/>
      <c r="J17" s="32"/>
      <c r="K17" s="39"/>
      <c r="L17" s="40"/>
      <c r="M17" s="40"/>
      <c r="N17" s="40"/>
      <c r="O17" s="40"/>
      <c r="P17" s="41"/>
      <c r="Q17" s="39"/>
      <c r="R17" s="40"/>
      <c r="S17" s="40"/>
      <c r="T17" s="40"/>
      <c r="U17" s="40"/>
      <c r="V17" s="41"/>
      <c r="W17" s="48"/>
      <c r="X17" s="49"/>
      <c r="Y17" s="49"/>
      <c r="Z17" s="49"/>
      <c r="AA17" s="49"/>
      <c r="AB17" s="50"/>
      <c r="AC17" s="13"/>
      <c r="AD17" s="13"/>
      <c r="AE17" s="13"/>
    </row>
    <row r="18" spans="2:31" s="9" customFormat="1" ht="34.200000000000003" customHeight="1" x14ac:dyDescent="0.85">
      <c r="B18" s="8"/>
      <c r="C18" s="25"/>
      <c r="D18" s="25"/>
      <c r="E18" s="30"/>
      <c r="F18" s="31"/>
      <c r="G18" s="31"/>
      <c r="H18" s="31"/>
      <c r="I18" s="31"/>
      <c r="J18" s="32"/>
      <c r="K18" s="39"/>
      <c r="L18" s="40"/>
      <c r="M18" s="40"/>
      <c r="N18" s="40"/>
      <c r="O18" s="40"/>
      <c r="P18" s="41"/>
      <c r="Q18" s="39"/>
      <c r="R18" s="40"/>
      <c r="S18" s="40"/>
      <c r="T18" s="40"/>
      <c r="U18" s="40"/>
      <c r="V18" s="41"/>
      <c r="W18" s="48"/>
      <c r="X18" s="49"/>
      <c r="Y18" s="49"/>
      <c r="Z18" s="49"/>
      <c r="AA18" s="49"/>
      <c r="AB18" s="50"/>
      <c r="AC18" s="13"/>
      <c r="AD18" s="13"/>
      <c r="AE18" s="13"/>
    </row>
    <row r="19" spans="2:31" s="9" customFormat="1" ht="16.2" customHeight="1" x14ac:dyDescent="0.85">
      <c r="B19" s="8"/>
      <c r="C19" s="17"/>
      <c r="D19" s="17"/>
      <c r="E19" s="33"/>
      <c r="F19" s="34"/>
      <c r="G19" s="34"/>
      <c r="H19" s="34"/>
      <c r="I19" s="34"/>
      <c r="J19" s="35"/>
      <c r="K19" s="42"/>
      <c r="L19" s="43"/>
      <c r="M19" s="43"/>
      <c r="N19" s="43"/>
      <c r="O19" s="43"/>
      <c r="P19" s="44"/>
      <c r="Q19" s="42"/>
      <c r="R19" s="43"/>
      <c r="S19" s="43"/>
      <c r="T19" s="43"/>
      <c r="U19" s="43"/>
      <c r="V19" s="44"/>
      <c r="W19" s="51"/>
      <c r="X19" s="52"/>
      <c r="Y19" s="52"/>
      <c r="Z19" s="52"/>
      <c r="AA19" s="52"/>
      <c r="AB19" s="53"/>
      <c r="AC19" s="13"/>
      <c r="AD19" s="13"/>
      <c r="AE19" s="13"/>
    </row>
    <row r="20" spans="2:31" ht="15" customHeight="1" x14ac:dyDescent="0.3">
      <c r="B20" s="20" t="s">
        <v>924</v>
      </c>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row>
    <row r="21" spans="2:31" ht="34.200000000000003" customHeight="1" x14ac:dyDescent="0.3">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row>
    <row r="22" spans="2:31" s="9" customFormat="1" ht="15.6" customHeight="1" x14ac:dyDescent="0.3">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row>
    <row r="23" spans="2:31" s="9" customFormat="1" x14ac:dyDescent="0.3">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row>
    <row r="24" spans="2:31" s="9" customFormat="1" x14ac:dyDescent="0.3">
      <c r="B24" s="8"/>
      <c r="C24" s="8"/>
      <c r="D24" s="8"/>
      <c r="E24" s="8"/>
      <c r="F24" s="8"/>
      <c r="G24" s="8"/>
      <c r="H24" s="8"/>
      <c r="I24" s="8"/>
      <c r="J24" s="8"/>
      <c r="K24" s="8"/>
      <c r="L24" s="8"/>
      <c r="M24" s="8"/>
      <c r="N24" s="8"/>
      <c r="O24" s="8"/>
      <c r="P24" s="8"/>
      <c r="Q24" s="8"/>
      <c r="R24" s="8"/>
      <c r="S24" s="8"/>
      <c r="T24" s="8"/>
      <c r="U24" s="8"/>
      <c r="V24" s="8"/>
      <c r="W24" s="8"/>
      <c r="X24" s="13"/>
      <c r="Y24" s="13"/>
      <c r="Z24" s="13"/>
      <c r="AA24" s="13"/>
      <c r="AB24" s="13"/>
      <c r="AC24" s="13"/>
      <c r="AD24" s="13"/>
      <c r="AE24" s="13"/>
    </row>
    <row r="25" spans="2:31" s="9" customFormat="1" x14ac:dyDescent="0.3">
      <c r="B25" s="8"/>
      <c r="C25" s="8"/>
      <c r="D25" s="8"/>
      <c r="E25" s="8"/>
      <c r="F25" s="8"/>
      <c r="G25" s="8"/>
      <c r="H25" s="8"/>
      <c r="I25" s="8"/>
      <c r="J25" s="8"/>
      <c r="K25" s="8"/>
      <c r="L25" s="8"/>
      <c r="M25" s="8"/>
      <c r="N25" s="8"/>
      <c r="O25" s="8"/>
      <c r="P25" s="8"/>
      <c r="Q25" s="8"/>
      <c r="R25" s="8"/>
      <c r="S25" s="8"/>
      <c r="T25" s="8"/>
      <c r="U25" s="8"/>
      <c r="V25" s="8"/>
      <c r="W25" s="8"/>
      <c r="X25" s="13"/>
      <c r="Y25" s="13"/>
      <c r="Z25" s="13"/>
      <c r="AA25" s="13"/>
      <c r="AB25" s="13"/>
      <c r="AC25" s="13"/>
      <c r="AD25" s="13"/>
      <c r="AE25" s="13"/>
    </row>
    <row r="26" spans="2:31" s="9" customFormat="1" x14ac:dyDescent="0.3">
      <c r="B26" s="8"/>
      <c r="C26" s="8"/>
      <c r="D26" s="8"/>
      <c r="E26" s="8"/>
      <c r="F26" s="8"/>
      <c r="G26" s="8"/>
      <c r="H26" s="8"/>
      <c r="I26" s="8"/>
      <c r="J26" s="8"/>
      <c r="K26" s="8"/>
      <c r="L26" s="8"/>
      <c r="M26" s="8"/>
      <c r="N26" s="8"/>
      <c r="O26" s="8"/>
      <c r="P26" s="8"/>
      <c r="Q26" s="8"/>
      <c r="R26" s="8"/>
      <c r="S26" s="8"/>
      <c r="T26" s="8"/>
      <c r="U26" s="8"/>
      <c r="V26" s="8"/>
      <c r="W26" s="8"/>
      <c r="X26" s="13"/>
      <c r="Y26" s="13"/>
      <c r="Z26" s="13"/>
      <c r="AA26" s="13"/>
      <c r="AB26" s="13"/>
      <c r="AC26" s="13"/>
      <c r="AD26" s="13"/>
      <c r="AE26" s="13"/>
    </row>
    <row r="27" spans="2:31" s="9" customFormat="1" x14ac:dyDescent="0.3">
      <c r="B27" s="8"/>
      <c r="C27" s="8"/>
      <c r="D27" s="8"/>
      <c r="E27" s="8"/>
      <c r="F27" s="8"/>
      <c r="G27" s="8"/>
      <c r="H27" s="8"/>
      <c r="I27" s="8"/>
      <c r="J27" s="8"/>
      <c r="K27" s="8"/>
      <c r="L27" s="8"/>
      <c r="M27" s="8"/>
      <c r="N27" s="8"/>
      <c r="O27" s="8"/>
      <c r="P27" s="8"/>
      <c r="Q27" s="8"/>
      <c r="R27" s="8"/>
      <c r="S27" s="8"/>
      <c r="T27" s="8"/>
      <c r="U27" s="8"/>
      <c r="V27" s="8"/>
      <c r="W27" s="8"/>
      <c r="X27" s="13"/>
      <c r="Y27" s="13"/>
      <c r="Z27" s="13"/>
      <c r="AA27" s="13"/>
      <c r="AB27" s="13"/>
      <c r="AC27" s="13"/>
      <c r="AD27" s="13"/>
      <c r="AE27" s="13"/>
    </row>
    <row r="28" spans="2:31" s="9" customFormat="1" x14ac:dyDescent="0.3">
      <c r="B28" s="8"/>
      <c r="C28" s="8"/>
      <c r="D28" s="8"/>
      <c r="E28" s="8"/>
      <c r="F28" s="8"/>
      <c r="G28" s="8"/>
      <c r="H28" s="8"/>
      <c r="I28" s="8"/>
      <c r="J28" s="8"/>
      <c r="K28" s="8"/>
      <c r="L28" s="8"/>
      <c r="M28" s="8"/>
      <c r="N28" s="8"/>
      <c r="O28" s="8"/>
      <c r="P28" s="8"/>
      <c r="Q28" s="8"/>
      <c r="R28" s="8"/>
      <c r="S28" s="8"/>
      <c r="T28" s="8"/>
      <c r="U28" s="8"/>
      <c r="V28" s="8"/>
      <c r="W28" s="8"/>
      <c r="X28" s="13"/>
      <c r="Y28" s="13"/>
      <c r="Z28" s="13"/>
      <c r="AA28" s="13"/>
      <c r="AB28" s="13"/>
      <c r="AC28" s="13"/>
      <c r="AD28" s="13"/>
      <c r="AE28" s="13"/>
    </row>
    <row r="29" spans="2:31" s="9" customFormat="1" x14ac:dyDescent="0.3">
      <c r="B29" s="8"/>
      <c r="C29" s="8"/>
      <c r="D29" s="8"/>
      <c r="E29" s="8"/>
      <c r="F29" s="8"/>
      <c r="G29" s="8"/>
      <c r="H29" s="8"/>
      <c r="I29" s="8"/>
      <c r="J29" s="8"/>
      <c r="K29" s="8"/>
      <c r="L29" s="8"/>
      <c r="M29" s="8"/>
      <c r="N29" s="8"/>
      <c r="O29" s="8"/>
      <c r="P29" s="8"/>
      <c r="Q29" s="8"/>
      <c r="R29" s="8"/>
      <c r="S29" s="8"/>
      <c r="T29" s="8"/>
      <c r="U29" s="8"/>
      <c r="V29" s="8"/>
      <c r="W29" s="8"/>
      <c r="X29" s="13"/>
      <c r="Y29" s="13"/>
      <c r="Z29" s="13"/>
      <c r="AA29" s="13"/>
      <c r="AB29" s="13"/>
      <c r="AC29" s="13"/>
      <c r="AD29" s="13"/>
      <c r="AE29" s="13"/>
    </row>
    <row r="30" spans="2:31" s="9" customFormat="1" x14ac:dyDescent="0.3">
      <c r="B30" s="8"/>
      <c r="C30" s="8"/>
      <c r="D30" s="8"/>
      <c r="E30" s="8"/>
      <c r="F30" s="8"/>
      <c r="G30" s="8"/>
      <c r="H30" s="8"/>
      <c r="I30" s="8"/>
      <c r="J30" s="8"/>
      <c r="K30" s="8"/>
      <c r="L30" s="8"/>
      <c r="M30" s="8"/>
      <c r="N30" s="8"/>
      <c r="O30" s="8"/>
      <c r="P30" s="8"/>
      <c r="Q30" s="8"/>
      <c r="R30" s="8"/>
      <c r="S30" s="8"/>
      <c r="T30" s="8"/>
      <c r="U30" s="8"/>
      <c r="V30" s="8"/>
      <c r="W30" s="8"/>
      <c r="X30" s="13"/>
      <c r="Y30" s="13"/>
      <c r="Z30" s="13"/>
      <c r="AA30" s="13"/>
      <c r="AB30" s="13"/>
      <c r="AC30" s="13"/>
      <c r="AD30" s="13"/>
      <c r="AE30" s="13"/>
    </row>
    <row r="31" spans="2:31" s="9" customFormat="1" x14ac:dyDescent="0.3">
      <c r="B31" s="8"/>
      <c r="C31" s="8"/>
      <c r="D31" s="8"/>
      <c r="E31" s="8"/>
      <c r="F31" s="8"/>
      <c r="G31" s="8"/>
      <c r="H31" s="8"/>
      <c r="I31" s="8"/>
      <c r="J31" s="8"/>
      <c r="K31" s="8"/>
      <c r="L31" s="8"/>
      <c r="M31" s="8"/>
      <c r="N31" s="8"/>
      <c r="O31" s="8"/>
      <c r="P31" s="8"/>
      <c r="Q31" s="8"/>
      <c r="R31" s="8"/>
      <c r="S31" s="8"/>
      <c r="T31" s="8"/>
      <c r="U31" s="8"/>
      <c r="V31" s="8"/>
      <c r="W31" s="8"/>
      <c r="X31" s="13"/>
      <c r="Y31" s="13"/>
      <c r="Z31" s="13"/>
      <c r="AA31" s="13"/>
      <c r="AB31" s="13"/>
      <c r="AC31" s="13"/>
      <c r="AD31" s="13"/>
      <c r="AE31" s="13"/>
    </row>
    <row r="32" spans="2:31" s="9" customFormat="1" x14ac:dyDescent="0.3">
      <c r="B32" s="8"/>
      <c r="C32" s="8"/>
      <c r="D32" s="8"/>
      <c r="E32" s="8"/>
      <c r="F32" s="8"/>
      <c r="G32" s="8"/>
      <c r="H32" s="8"/>
      <c r="I32" s="8"/>
      <c r="J32" s="8"/>
      <c r="K32" s="8"/>
      <c r="L32" s="8"/>
      <c r="M32" s="8"/>
      <c r="N32" s="8"/>
      <c r="O32" s="8"/>
      <c r="P32" s="8"/>
      <c r="Q32" s="8"/>
      <c r="R32" s="8"/>
      <c r="S32" s="8"/>
      <c r="T32" s="8"/>
      <c r="U32" s="8"/>
      <c r="V32" s="8"/>
      <c r="W32" s="8"/>
      <c r="X32" s="13"/>
      <c r="Y32" s="13"/>
      <c r="Z32" s="13"/>
      <c r="AA32" s="13"/>
      <c r="AB32" s="13"/>
      <c r="AC32" s="13"/>
      <c r="AD32" s="13"/>
      <c r="AE32" s="13"/>
    </row>
    <row r="33" spans="2:31" s="9" customFormat="1" x14ac:dyDescent="0.3">
      <c r="B33" s="8"/>
      <c r="C33" s="8"/>
      <c r="D33" s="8"/>
      <c r="E33" s="8"/>
      <c r="F33" s="8"/>
      <c r="G33" s="8"/>
      <c r="H33" s="8"/>
      <c r="I33" s="8"/>
      <c r="J33" s="8"/>
      <c r="K33" s="8"/>
      <c r="L33" s="8"/>
      <c r="M33" s="8"/>
      <c r="N33" s="8"/>
      <c r="O33" s="8"/>
      <c r="P33" s="8"/>
      <c r="Q33" s="8"/>
      <c r="R33" s="8"/>
      <c r="S33" s="8"/>
      <c r="T33" s="8"/>
      <c r="U33" s="8"/>
      <c r="V33" s="8"/>
      <c r="W33" s="8"/>
      <c r="X33" s="13"/>
      <c r="Y33" s="13"/>
      <c r="Z33" s="13"/>
      <c r="AA33" s="13"/>
      <c r="AB33" s="13"/>
      <c r="AC33" s="13"/>
      <c r="AD33" s="13"/>
      <c r="AE33" s="13"/>
    </row>
    <row r="34" spans="2:31" s="9" customFormat="1" x14ac:dyDescent="0.3">
      <c r="B34" s="8"/>
      <c r="C34" s="8"/>
      <c r="D34" s="8"/>
      <c r="E34" s="8"/>
      <c r="F34" s="8"/>
      <c r="G34" s="8"/>
      <c r="H34" s="8"/>
      <c r="I34" s="8"/>
      <c r="J34" s="8"/>
      <c r="K34" s="8"/>
      <c r="L34" s="8"/>
      <c r="M34" s="8"/>
      <c r="N34" s="8"/>
      <c r="O34" s="8"/>
      <c r="P34" s="8"/>
      <c r="Q34" s="8"/>
      <c r="R34" s="8"/>
      <c r="S34" s="8"/>
      <c r="T34" s="8"/>
      <c r="U34" s="8"/>
      <c r="V34" s="8"/>
      <c r="W34" s="8"/>
      <c r="X34" s="13"/>
      <c r="Y34" s="13"/>
      <c r="Z34" s="13"/>
      <c r="AA34" s="13"/>
      <c r="AB34" s="13"/>
      <c r="AC34" s="13"/>
      <c r="AD34" s="13"/>
      <c r="AE34" s="13"/>
    </row>
    <row r="35" spans="2:31" s="9" customFormat="1" x14ac:dyDescent="0.3">
      <c r="B35" s="8"/>
      <c r="C35" s="8"/>
      <c r="D35" s="8"/>
      <c r="E35" s="8"/>
      <c r="F35" s="8"/>
      <c r="G35" s="8"/>
      <c r="H35" s="8"/>
      <c r="I35" s="8"/>
      <c r="J35" s="8"/>
      <c r="K35" s="8"/>
      <c r="L35" s="8"/>
      <c r="M35" s="8"/>
      <c r="N35" s="8"/>
      <c r="O35" s="8"/>
      <c r="P35" s="8"/>
      <c r="Q35" s="8"/>
      <c r="R35" s="8"/>
      <c r="S35" s="8"/>
      <c r="T35" s="8"/>
      <c r="U35" s="8"/>
      <c r="V35" s="8"/>
      <c r="W35" s="8"/>
      <c r="X35" s="13"/>
      <c r="Y35" s="13"/>
      <c r="Z35" s="13"/>
      <c r="AA35" s="13"/>
      <c r="AB35" s="13"/>
      <c r="AC35" s="13"/>
      <c r="AD35" s="13"/>
      <c r="AE35" s="13"/>
    </row>
    <row r="36" spans="2:31" s="9" customFormat="1" x14ac:dyDescent="0.3">
      <c r="B36" s="8"/>
      <c r="C36" s="8"/>
      <c r="D36" s="8"/>
      <c r="E36" s="8"/>
      <c r="F36" s="8"/>
      <c r="G36" s="8"/>
      <c r="H36" s="8"/>
      <c r="I36" s="8"/>
      <c r="J36" s="8"/>
      <c r="K36" s="8"/>
      <c r="L36" s="8"/>
      <c r="M36" s="8"/>
      <c r="N36" s="8"/>
      <c r="O36" s="8"/>
      <c r="P36" s="8"/>
      <c r="Q36" s="8"/>
      <c r="R36" s="8"/>
      <c r="S36" s="8"/>
      <c r="T36" s="8"/>
      <c r="U36" s="8"/>
      <c r="V36" s="8"/>
      <c r="W36" s="8"/>
      <c r="X36" s="13"/>
      <c r="Y36" s="13"/>
      <c r="Z36" s="13"/>
      <c r="AA36" s="13"/>
      <c r="AB36" s="13"/>
      <c r="AC36" s="13"/>
      <c r="AD36" s="13"/>
      <c r="AE36" s="13"/>
    </row>
    <row r="37" spans="2:31" s="9" customFormat="1" x14ac:dyDescent="0.3">
      <c r="B37" s="8"/>
      <c r="C37" s="8"/>
      <c r="D37" s="8"/>
      <c r="E37" s="8"/>
      <c r="F37" s="8"/>
      <c r="G37" s="8"/>
      <c r="H37" s="8"/>
      <c r="I37" s="8"/>
      <c r="J37" s="8"/>
      <c r="K37" s="8"/>
      <c r="L37" s="8"/>
      <c r="M37" s="8"/>
      <c r="N37" s="8"/>
      <c r="O37" s="8"/>
      <c r="P37" s="8"/>
      <c r="Q37" s="8"/>
      <c r="R37" s="8"/>
      <c r="S37" s="8"/>
      <c r="T37" s="8"/>
      <c r="U37" s="8"/>
      <c r="V37" s="8"/>
      <c r="W37" s="8"/>
      <c r="X37" s="13"/>
      <c r="Y37" s="13"/>
      <c r="Z37" s="13"/>
      <c r="AA37" s="13"/>
      <c r="AB37" s="13"/>
      <c r="AC37" s="13"/>
      <c r="AD37" s="13"/>
      <c r="AE37" s="13"/>
    </row>
    <row r="38" spans="2:31" s="9" customFormat="1" x14ac:dyDescent="0.3">
      <c r="B38" s="8"/>
      <c r="C38" s="8"/>
      <c r="D38" s="8"/>
      <c r="E38" s="8"/>
      <c r="F38" s="8"/>
      <c r="G38" s="8"/>
      <c r="H38" s="8"/>
      <c r="I38" s="8"/>
      <c r="J38" s="8"/>
      <c r="K38" s="8"/>
      <c r="L38" s="8"/>
      <c r="M38" s="8"/>
      <c r="N38" s="8"/>
      <c r="O38" s="8"/>
      <c r="P38" s="8"/>
      <c r="Q38" s="8"/>
      <c r="R38" s="8"/>
      <c r="S38" s="8"/>
      <c r="T38" s="8"/>
      <c r="U38" s="8"/>
      <c r="V38" s="8"/>
      <c r="W38" s="8"/>
      <c r="X38" s="13"/>
      <c r="Y38" s="13"/>
      <c r="Z38" s="13"/>
      <c r="AA38" s="13"/>
      <c r="AB38" s="13"/>
      <c r="AC38" s="13"/>
      <c r="AD38" s="13"/>
      <c r="AE38" s="13"/>
    </row>
    <row r="39" spans="2:31" s="9" customFormat="1" x14ac:dyDescent="0.3">
      <c r="B39" s="8"/>
      <c r="C39" s="8"/>
      <c r="D39" s="8"/>
      <c r="E39" s="8"/>
      <c r="F39" s="8"/>
      <c r="G39" s="8"/>
      <c r="H39" s="8"/>
      <c r="I39" s="8"/>
      <c r="J39" s="8"/>
      <c r="K39" s="8"/>
      <c r="L39" s="8"/>
      <c r="M39" s="8"/>
      <c r="N39" s="8"/>
      <c r="O39" s="8"/>
      <c r="P39" s="8"/>
      <c r="Q39" s="8"/>
      <c r="R39" s="8"/>
      <c r="S39" s="8"/>
      <c r="T39" s="8"/>
      <c r="U39" s="8"/>
      <c r="V39" s="8"/>
      <c r="W39" s="8"/>
      <c r="X39" s="13"/>
      <c r="Y39" s="13"/>
      <c r="Z39" s="13"/>
      <c r="AA39" s="13"/>
      <c r="AB39" s="13"/>
      <c r="AC39" s="13"/>
      <c r="AD39" s="13"/>
      <c r="AE39" s="13"/>
    </row>
    <row r="40" spans="2:31" s="9" customFormat="1" x14ac:dyDescent="0.3">
      <c r="B40" s="8"/>
      <c r="C40" s="8"/>
      <c r="D40" s="8"/>
      <c r="E40" s="8"/>
      <c r="F40" s="8"/>
      <c r="G40" s="8"/>
      <c r="H40" s="8"/>
      <c r="I40" s="8"/>
      <c r="J40" s="8"/>
      <c r="K40" s="8"/>
      <c r="L40" s="8"/>
      <c r="M40" s="8"/>
      <c r="N40" s="8"/>
      <c r="O40" s="8"/>
      <c r="P40" s="8"/>
      <c r="Q40" s="8"/>
      <c r="R40" s="8"/>
      <c r="S40" s="8"/>
      <c r="T40" s="8"/>
      <c r="U40" s="8"/>
      <c r="V40" s="8"/>
      <c r="W40" s="8"/>
      <c r="X40" s="13"/>
      <c r="Y40" s="13"/>
      <c r="Z40" s="13"/>
      <c r="AA40" s="13"/>
      <c r="AB40" s="13"/>
      <c r="AC40" s="13"/>
      <c r="AD40" s="13"/>
      <c r="AE40" s="13"/>
    </row>
    <row r="41" spans="2:31" s="9" customFormat="1" x14ac:dyDescent="0.3">
      <c r="B41" s="8"/>
      <c r="C41" s="8"/>
      <c r="D41" s="8"/>
      <c r="E41" s="8"/>
      <c r="F41" s="8"/>
      <c r="G41" s="8"/>
      <c r="H41" s="8"/>
      <c r="I41" s="8"/>
      <c r="J41" s="8"/>
      <c r="K41" s="8"/>
      <c r="L41" s="8"/>
      <c r="M41" s="8"/>
      <c r="N41" s="8"/>
      <c r="O41" s="8"/>
      <c r="P41" s="8"/>
      <c r="Q41" s="8"/>
      <c r="R41" s="8"/>
      <c r="S41" s="8"/>
      <c r="T41" s="8"/>
      <c r="U41" s="8"/>
      <c r="V41" s="8"/>
      <c r="W41" s="8"/>
      <c r="X41" s="13"/>
      <c r="Y41" s="13"/>
      <c r="Z41" s="13"/>
      <c r="AA41" s="13"/>
      <c r="AB41" s="13"/>
      <c r="AC41" s="13"/>
      <c r="AD41" s="13"/>
      <c r="AE41" s="13"/>
    </row>
    <row r="42" spans="2:31" s="9" customFormat="1" x14ac:dyDescent="0.3">
      <c r="B42" s="8"/>
      <c r="C42" s="8"/>
      <c r="D42" s="8"/>
      <c r="E42" s="8"/>
      <c r="F42" s="8"/>
      <c r="G42" s="8"/>
      <c r="H42" s="8"/>
      <c r="I42" s="8"/>
      <c r="J42" s="8"/>
      <c r="K42" s="8"/>
      <c r="L42" s="8"/>
      <c r="M42" s="8"/>
      <c r="N42" s="8"/>
      <c r="O42" s="8"/>
      <c r="P42" s="8"/>
      <c r="Q42" s="8"/>
      <c r="R42" s="8"/>
      <c r="S42" s="8"/>
      <c r="T42" s="8"/>
      <c r="U42" s="8"/>
      <c r="V42" s="8"/>
      <c r="W42" s="8"/>
      <c r="X42" s="13"/>
      <c r="Y42" s="13"/>
      <c r="Z42" s="13"/>
      <c r="AA42" s="13"/>
      <c r="AB42" s="13"/>
      <c r="AC42" s="13"/>
      <c r="AD42" s="13"/>
      <c r="AE42" s="13"/>
    </row>
    <row r="43" spans="2:31" s="9" customFormat="1" x14ac:dyDescent="0.3">
      <c r="B43" s="8"/>
      <c r="C43" s="8"/>
      <c r="D43" s="8"/>
      <c r="E43" s="8"/>
      <c r="F43" s="8"/>
      <c r="G43" s="8"/>
      <c r="H43" s="8"/>
      <c r="I43" s="8"/>
      <c r="J43" s="8"/>
      <c r="K43" s="8"/>
      <c r="L43" s="8"/>
      <c r="M43" s="8"/>
      <c r="N43" s="8"/>
      <c r="O43" s="8"/>
      <c r="P43" s="8"/>
      <c r="Q43" s="8"/>
      <c r="R43" s="8"/>
      <c r="S43" s="8"/>
      <c r="T43" s="8"/>
      <c r="U43" s="8"/>
      <c r="V43" s="8"/>
      <c r="W43" s="8"/>
      <c r="X43" s="13"/>
      <c r="Y43" s="13"/>
      <c r="Z43" s="13"/>
      <c r="AA43" s="13"/>
      <c r="AB43" s="13"/>
      <c r="AC43" s="13"/>
      <c r="AD43" s="13"/>
      <c r="AE43" s="13"/>
    </row>
    <row r="44" spans="2:31" s="9" customFormat="1" x14ac:dyDescent="0.3">
      <c r="B44" s="8"/>
      <c r="C44" s="8"/>
      <c r="D44" s="8"/>
      <c r="E44" s="8"/>
      <c r="F44" s="8"/>
      <c r="G44" s="8"/>
      <c r="H44" s="8"/>
      <c r="I44" s="8"/>
      <c r="J44" s="8"/>
      <c r="K44" s="8"/>
      <c r="L44" s="8"/>
      <c r="M44" s="8"/>
      <c r="N44" s="8"/>
      <c r="O44" s="8"/>
      <c r="P44" s="8"/>
      <c r="Q44" s="8"/>
      <c r="R44" s="8"/>
      <c r="S44" s="8"/>
      <c r="T44" s="8"/>
      <c r="U44" s="8"/>
      <c r="V44" s="8"/>
      <c r="W44" s="8"/>
      <c r="X44" s="13"/>
      <c r="Y44" s="13"/>
      <c r="Z44" s="13"/>
      <c r="AA44" s="13"/>
      <c r="AB44" s="13"/>
      <c r="AC44" s="13"/>
      <c r="AD44" s="13"/>
      <c r="AE44" s="13"/>
    </row>
    <row r="45" spans="2:31" s="9" customFormat="1" ht="14.4" customHeight="1" x14ac:dyDescent="0.3">
      <c r="B45" s="20" t="s">
        <v>925</v>
      </c>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row>
    <row r="46" spans="2:31" s="9" customFormat="1" ht="14.4" customHeight="1" x14ac:dyDescent="0.3">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row>
    <row r="47" spans="2:31" s="9" customFormat="1" ht="31.2" customHeight="1" x14ac:dyDescent="0.3">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row>
    <row r="48" spans="2:31" s="9" customFormat="1" ht="14.4" customHeight="1" x14ac:dyDescent="0.3">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row>
    <row r="49" spans="2:31" s="9" customFormat="1" ht="14.4" customHeight="1" x14ac:dyDescent="0.3">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row>
    <row r="50" spans="2:31" s="9" customFormat="1" x14ac:dyDescent="0.3">
      <c r="B50" s="8"/>
      <c r="C50" s="8"/>
      <c r="D50" s="8"/>
      <c r="E50" s="8"/>
      <c r="F50" s="8"/>
      <c r="G50" s="8"/>
      <c r="H50" s="8"/>
      <c r="I50" s="8"/>
      <c r="J50" s="8"/>
      <c r="K50" s="8"/>
      <c r="L50" s="8"/>
      <c r="M50" s="8"/>
      <c r="N50" s="8"/>
      <c r="O50" s="8"/>
      <c r="P50" s="8"/>
      <c r="Q50" s="8"/>
      <c r="R50" s="8"/>
      <c r="S50" s="8"/>
      <c r="T50" s="8"/>
      <c r="U50" s="8"/>
      <c r="V50" s="8"/>
      <c r="W50" s="8"/>
      <c r="X50" s="13"/>
      <c r="Y50" s="13"/>
      <c r="Z50" s="13"/>
      <c r="AA50" s="13"/>
      <c r="AB50" s="13"/>
      <c r="AC50" s="13"/>
      <c r="AD50" s="13"/>
      <c r="AE50" s="13"/>
    </row>
    <row r="51" spans="2:31" s="9" customFormat="1" x14ac:dyDescent="0.3">
      <c r="B51" s="8"/>
      <c r="C51" s="8"/>
      <c r="D51" s="8"/>
      <c r="E51" s="8"/>
      <c r="F51" s="8"/>
      <c r="G51" s="8"/>
      <c r="H51" s="8"/>
      <c r="I51" s="8"/>
      <c r="J51" s="8"/>
      <c r="K51" s="8"/>
      <c r="L51" s="8"/>
      <c r="M51" s="8"/>
      <c r="N51" s="8"/>
      <c r="O51" s="8"/>
      <c r="P51" s="8"/>
      <c r="Q51" s="8"/>
      <c r="R51" s="8"/>
      <c r="S51" s="8"/>
      <c r="T51" s="8"/>
      <c r="U51" s="8"/>
      <c r="V51" s="8"/>
      <c r="W51" s="8"/>
      <c r="X51" s="13"/>
      <c r="Y51" s="13"/>
      <c r="Z51" s="13"/>
      <c r="AA51" s="13"/>
      <c r="AB51" s="13"/>
      <c r="AC51" s="13"/>
      <c r="AD51" s="13"/>
      <c r="AE51" s="13"/>
    </row>
    <row r="52" spans="2:31" s="9" customFormat="1" x14ac:dyDescent="0.3">
      <c r="B52" s="8"/>
      <c r="C52" s="8"/>
      <c r="D52" s="8"/>
      <c r="E52" s="8"/>
      <c r="F52" s="8"/>
      <c r="G52" s="8"/>
      <c r="H52" s="8"/>
      <c r="I52" s="8"/>
      <c r="J52" s="8"/>
      <c r="K52" s="8"/>
      <c r="L52" s="8"/>
      <c r="M52" s="8"/>
      <c r="N52" s="8"/>
      <c r="O52" s="8"/>
      <c r="P52" s="8"/>
      <c r="Q52" s="8"/>
      <c r="R52" s="8"/>
      <c r="S52" s="8"/>
      <c r="T52" s="8"/>
      <c r="U52" s="8"/>
      <c r="V52" s="8"/>
      <c r="W52" s="8"/>
      <c r="X52" s="13"/>
      <c r="Y52" s="13"/>
      <c r="Z52" s="13"/>
      <c r="AA52" s="13"/>
      <c r="AB52" s="13"/>
      <c r="AC52" s="13"/>
      <c r="AD52" s="13"/>
      <c r="AE52" s="13"/>
    </row>
    <row r="53" spans="2:31" s="9" customFormat="1" x14ac:dyDescent="0.3">
      <c r="B53" s="8"/>
      <c r="C53" s="8"/>
      <c r="D53" s="8"/>
      <c r="E53" s="8"/>
      <c r="F53" s="8"/>
      <c r="G53" s="8"/>
      <c r="H53" s="8"/>
      <c r="I53" s="8"/>
      <c r="J53" s="8"/>
      <c r="K53" s="8"/>
      <c r="L53" s="8"/>
      <c r="M53" s="8"/>
      <c r="N53" s="8"/>
      <c r="O53" s="8"/>
      <c r="P53" s="8"/>
      <c r="Q53" s="8"/>
      <c r="R53" s="8"/>
      <c r="S53" s="8"/>
      <c r="T53" s="8"/>
      <c r="U53" s="8"/>
      <c r="V53" s="8"/>
      <c r="W53" s="8"/>
      <c r="X53" s="13"/>
      <c r="Y53" s="13"/>
      <c r="Z53" s="13"/>
      <c r="AA53" s="13"/>
      <c r="AB53" s="13"/>
      <c r="AC53" s="13"/>
      <c r="AD53" s="13"/>
      <c r="AE53" s="13"/>
    </row>
    <row r="54" spans="2:31" s="9" customFormat="1" x14ac:dyDescent="0.3">
      <c r="B54" s="8"/>
      <c r="C54" s="8"/>
      <c r="D54" s="8"/>
      <c r="E54" s="8"/>
      <c r="F54" s="8"/>
      <c r="G54" s="8"/>
      <c r="H54" s="8"/>
      <c r="I54" s="8"/>
      <c r="J54" s="8"/>
      <c r="K54" s="8"/>
      <c r="L54" s="8"/>
      <c r="M54" s="8"/>
      <c r="N54" s="8"/>
      <c r="O54" s="8"/>
      <c r="P54" s="8"/>
      <c r="Q54" s="8"/>
      <c r="R54" s="8"/>
      <c r="S54" s="8"/>
      <c r="T54" s="8"/>
      <c r="U54" s="8"/>
      <c r="V54" s="8"/>
      <c r="W54" s="8"/>
      <c r="X54" s="13"/>
      <c r="Y54" s="13"/>
      <c r="Z54" s="13"/>
      <c r="AA54" s="13"/>
      <c r="AB54" s="13"/>
      <c r="AC54" s="13"/>
      <c r="AD54" s="13"/>
      <c r="AE54" s="13"/>
    </row>
    <row r="55" spans="2:31" s="9" customFormat="1" x14ac:dyDescent="0.3">
      <c r="B55" s="8"/>
      <c r="C55" s="8"/>
      <c r="D55" s="8"/>
      <c r="E55" s="8"/>
      <c r="F55" s="8"/>
      <c r="G55" s="8"/>
      <c r="H55" s="8"/>
      <c r="I55" s="8"/>
      <c r="J55" s="8"/>
      <c r="K55" s="8"/>
      <c r="L55" s="8"/>
      <c r="M55" s="8"/>
      <c r="N55" s="8"/>
      <c r="O55" s="8"/>
      <c r="P55" s="8"/>
      <c r="Q55" s="8"/>
      <c r="R55" s="8"/>
      <c r="S55" s="8"/>
      <c r="T55" s="8"/>
      <c r="U55" s="8"/>
      <c r="V55" s="8"/>
      <c r="W55" s="8"/>
      <c r="X55" s="13"/>
      <c r="Y55" s="13"/>
      <c r="Z55" s="13"/>
      <c r="AA55" s="13"/>
      <c r="AB55" s="13"/>
      <c r="AC55" s="13"/>
      <c r="AD55" s="13"/>
      <c r="AE55" s="13"/>
    </row>
    <row r="56" spans="2:31" s="9" customFormat="1" x14ac:dyDescent="0.3">
      <c r="B56" s="8"/>
      <c r="C56" s="8"/>
      <c r="D56" s="8"/>
      <c r="E56" s="8"/>
      <c r="F56" s="8"/>
      <c r="G56" s="8"/>
      <c r="H56" s="8"/>
      <c r="I56" s="8"/>
      <c r="J56" s="8"/>
      <c r="K56" s="8"/>
      <c r="L56" s="8"/>
      <c r="M56" s="8"/>
      <c r="N56" s="8"/>
      <c r="O56" s="8"/>
      <c r="P56" s="8"/>
      <c r="Q56" s="8"/>
      <c r="R56" s="8"/>
      <c r="S56" s="8"/>
      <c r="T56" s="8"/>
      <c r="U56" s="8"/>
      <c r="V56" s="8"/>
      <c r="W56" s="8"/>
      <c r="X56" s="13"/>
      <c r="Y56" s="13"/>
      <c r="Z56" s="13"/>
      <c r="AA56" s="13"/>
      <c r="AB56" s="13"/>
      <c r="AC56" s="13"/>
      <c r="AD56" s="13"/>
      <c r="AE56" s="13"/>
    </row>
    <row r="57" spans="2:31" s="9" customFormat="1" x14ac:dyDescent="0.3">
      <c r="B57" s="8"/>
      <c r="C57" s="8"/>
      <c r="D57" s="8"/>
      <c r="E57" s="8"/>
      <c r="F57" s="8"/>
      <c r="G57" s="8"/>
      <c r="H57" s="8"/>
      <c r="I57" s="8"/>
      <c r="J57" s="8"/>
      <c r="K57" s="8"/>
      <c r="L57" s="8"/>
      <c r="M57" s="8"/>
      <c r="N57" s="8"/>
      <c r="O57" s="8"/>
      <c r="P57" s="8"/>
      <c r="Q57" s="8"/>
      <c r="R57" s="8"/>
      <c r="S57" s="8"/>
      <c r="T57" s="8"/>
      <c r="U57" s="8"/>
      <c r="V57" s="8"/>
      <c r="W57" s="8"/>
      <c r="X57" s="13"/>
      <c r="Y57" s="13"/>
      <c r="Z57" s="13"/>
      <c r="AA57" s="13"/>
      <c r="AB57" s="13"/>
      <c r="AC57" s="13"/>
      <c r="AD57" s="13"/>
      <c r="AE57" s="13"/>
    </row>
    <row r="58" spans="2:31" s="9" customFormat="1" x14ac:dyDescent="0.3">
      <c r="B58" s="8"/>
      <c r="C58" s="8"/>
      <c r="D58" s="8"/>
      <c r="E58" s="8"/>
      <c r="F58" s="8"/>
      <c r="G58" s="8"/>
      <c r="H58" s="8"/>
      <c r="I58" s="8"/>
      <c r="J58" s="8"/>
      <c r="K58" s="8"/>
      <c r="L58" s="8"/>
      <c r="M58" s="8"/>
      <c r="N58" s="8"/>
      <c r="O58" s="8"/>
      <c r="P58" s="8"/>
      <c r="Q58" s="8"/>
      <c r="R58" s="8"/>
      <c r="S58" s="8"/>
      <c r="T58" s="8"/>
      <c r="U58" s="8"/>
      <c r="V58" s="8"/>
      <c r="W58" s="8"/>
      <c r="X58" s="13"/>
      <c r="Y58" s="13"/>
      <c r="Z58" s="13"/>
      <c r="AA58" s="13"/>
      <c r="AB58" s="13"/>
      <c r="AC58" s="13"/>
      <c r="AD58" s="13"/>
      <c r="AE58" s="13"/>
    </row>
    <row r="59" spans="2:31" s="9" customFormat="1" x14ac:dyDescent="0.3">
      <c r="B59" s="8"/>
      <c r="C59" s="8"/>
      <c r="D59" s="8"/>
      <c r="E59" s="8"/>
      <c r="F59" s="8"/>
      <c r="G59" s="8"/>
      <c r="H59" s="8"/>
      <c r="I59" s="8"/>
      <c r="J59" s="8"/>
      <c r="K59" s="8"/>
      <c r="L59" s="8"/>
      <c r="M59" s="8"/>
      <c r="N59" s="8"/>
      <c r="O59" s="8"/>
      <c r="P59" s="8"/>
      <c r="Q59" s="8"/>
      <c r="R59" s="8"/>
      <c r="S59" s="8"/>
      <c r="T59" s="8"/>
      <c r="U59" s="8"/>
      <c r="V59" s="8"/>
      <c r="W59" s="8"/>
      <c r="X59" s="13"/>
      <c r="Y59" s="13"/>
      <c r="Z59" s="13"/>
      <c r="AA59" s="13"/>
      <c r="AB59" s="13"/>
      <c r="AC59" s="13"/>
      <c r="AD59" s="13"/>
      <c r="AE59" s="13"/>
    </row>
    <row r="60" spans="2:31" s="9" customFormat="1" x14ac:dyDescent="0.3">
      <c r="B60" s="8"/>
      <c r="C60" s="8"/>
      <c r="D60" s="8"/>
      <c r="E60" s="8"/>
      <c r="F60" s="8"/>
      <c r="G60" s="8"/>
      <c r="H60" s="8"/>
      <c r="I60" s="8"/>
      <c r="J60" s="8"/>
      <c r="K60" s="8"/>
      <c r="L60" s="8"/>
      <c r="M60" s="8"/>
      <c r="N60" s="8"/>
      <c r="O60" s="8"/>
      <c r="P60" s="8"/>
      <c r="Q60" s="8"/>
      <c r="R60" s="8"/>
      <c r="S60" s="8"/>
      <c r="T60" s="8"/>
      <c r="U60" s="8"/>
      <c r="V60" s="8"/>
      <c r="W60" s="8"/>
      <c r="X60" s="13"/>
      <c r="Y60" s="13"/>
      <c r="Z60" s="13"/>
      <c r="AA60" s="13"/>
      <c r="AB60" s="13"/>
      <c r="AC60" s="13"/>
      <c r="AD60" s="13"/>
      <c r="AE60" s="13"/>
    </row>
    <row r="61" spans="2:31" s="9" customFormat="1" x14ac:dyDescent="0.3">
      <c r="B61" s="8"/>
      <c r="C61" s="8"/>
      <c r="D61" s="8"/>
      <c r="E61" s="8"/>
      <c r="F61" s="8"/>
      <c r="G61" s="8"/>
      <c r="H61" s="8"/>
      <c r="I61" s="8"/>
      <c r="J61" s="8"/>
      <c r="K61" s="8"/>
      <c r="L61" s="8"/>
      <c r="M61" s="8"/>
      <c r="N61" s="8"/>
      <c r="O61" s="8"/>
      <c r="P61" s="8"/>
      <c r="Q61" s="8"/>
      <c r="R61" s="8"/>
      <c r="S61" s="8"/>
      <c r="T61" s="8"/>
      <c r="U61" s="8"/>
      <c r="V61" s="8"/>
      <c r="W61" s="8"/>
      <c r="X61" s="13"/>
      <c r="Y61" s="13"/>
      <c r="Z61" s="13"/>
      <c r="AA61" s="13"/>
      <c r="AB61" s="13"/>
      <c r="AC61" s="13"/>
      <c r="AD61" s="13"/>
      <c r="AE61" s="13"/>
    </row>
    <row r="62" spans="2:31" s="9" customFormat="1" x14ac:dyDescent="0.3">
      <c r="B62" s="8"/>
      <c r="C62" s="8"/>
      <c r="D62" s="8"/>
      <c r="E62" s="8"/>
      <c r="F62" s="8"/>
      <c r="G62" s="8"/>
      <c r="H62" s="8"/>
      <c r="I62" s="8"/>
      <c r="J62" s="8"/>
      <c r="K62" s="8"/>
      <c r="L62" s="8"/>
      <c r="M62" s="8"/>
      <c r="N62" s="8"/>
      <c r="O62" s="8"/>
      <c r="P62" s="8"/>
      <c r="Q62" s="8"/>
      <c r="R62" s="8"/>
      <c r="S62" s="8"/>
      <c r="T62" s="8"/>
      <c r="U62" s="8"/>
      <c r="V62" s="8"/>
      <c r="W62" s="8"/>
      <c r="X62" s="13"/>
      <c r="Y62" s="13"/>
      <c r="Z62" s="13"/>
      <c r="AA62" s="13"/>
      <c r="AB62" s="13"/>
      <c r="AC62" s="13"/>
      <c r="AD62" s="13"/>
      <c r="AE62" s="13"/>
    </row>
    <row r="63" spans="2:31" s="9" customFormat="1" x14ac:dyDescent="0.3">
      <c r="B63" s="8"/>
      <c r="C63" s="8"/>
      <c r="D63" s="8"/>
      <c r="E63" s="8"/>
      <c r="F63" s="8"/>
      <c r="G63" s="8"/>
      <c r="H63" s="8"/>
      <c r="I63" s="8"/>
      <c r="J63" s="8"/>
      <c r="K63" s="8"/>
      <c r="L63" s="8"/>
      <c r="M63" s="8"/>
      <c r="N63" s="8"/>
      <c r="O63" s="8"/>
      <c r="P63" s="8"/>
      <c r="Q63" s="8"/>
      <c r="R63" s="8"/>
      <c r="S63" s="8"/>
      <c r="T63" s="8"/>
      <c r="U63" s="8"/>
      <c r="V63" s="8"/>
      <c r="W63" s="8"/>
      <c r="X63" s="13"/>
      <c r="Y63" s="13"/>
      <c r="Z63" s="13"/>
      <c r="AA63" s="13"/>
      <c r="AB63" s="13"/>
      <c r="AC63" s="13"/>
      <c r="AD63" s="13"/>
      <c r="AE63" s="13"/>
    </row>
    <row r="64" spans="2:31" s="9" customFormat="1" x14ac:dyDescent="0.3">
      <c r="B64" s="8"/>
      <c r="C64" s="8"/>
      <c r="D64" s="8"/>
      <c r="E64" s="8"/>
      <c r="F64" s="8"/>
      <c r="G64" s="8"/>
      <c r="H64" s="8"/>
      <c r="I64" s="8"/>
      <c r="J64" s="8"/>
      <c r="K64" s="8"/>
      <c r="L64" s="8"/>
      <c r="M64" s="8"/>
      <c r="N64" s="8"/>
      <c r="O64" s="8"/>
      <c r="P64" s="8"/>
      <c r="Q64" s="8"/>
      <c r="R64" s="8"/>
      <c r="S64" s="8"/>
      <c r="T64" s="8"/>
      <c r="U64" s="8"/>
      <c r="V64" s="8"/>
      <c r="W64" s="8"/>
      <c r="X64" s="13"/>
      <c r="Y64" s="13"/>
      <c r="Z64" s="13"/>
      <c r="AA64" s="13"/>
      <c r="AB64" s="13"/>
      <c r="AC64" s="13"/>
      <c r="AD64" s="13"/>
      <c r="AE64" s="13"/>
    </row>
    <row r="65" spans="2:31" s="9" customFormat="1" x14ac:dyDescent="0.3">
      <c r="B65" s="8"/>
      <c r="C65" s="8"/>
      <c r="D65" s="8"/>
      <c r="E65" s="8"/>
      <c r="F65" s="8"/>
      <c r="G65" s="8"/>
      <c r="H65" s="8"/>
      <c r="I65" s="8"/>
      <c r="J65" s="8"/>
      <c r="K65" s="8"/>
      <c r="L65" s="8"/>
      <c r="M65" s="8"/>
      <c r="N65" s="8"/>
      <c r="O65" s="8"/>
      <c r="P65" s="8"/>
      <c r="Q65" s="8"/>
      <c r="R65" s="8"/>
      <c r="S65" s="8"/>
      <c r="T65" s="8"/>
      <c r="U65" s="8"/>
      <c r="V65" s="8"/>
      <c r="W65" s="8"/>
      <c r="X65" s="13"/>
      <c r="Y65" s="13"/>
      <c r="Z65" s="13"/>
      <c r="AA65" s="13"/>
      <c r="AB65" s="13"/>
      <c r="AC65" s="13"/>
      <c r="AD65" s="13"/>
      <c r="AE65" s="13"/>
    </row>
    <row r="66" spans="2:31" s="9" customFormat="1" x14ac:dyDescent="0.3">
      <c r="B66" s="8"/>
      <c r="C66" s="8"/>
      <c r="D66" s="8"/>
      <c r="E66" s="8"/>
      <c r="F66" s="8"/>
      <c r="G66" s="8"/>
      <c r="H66" s="8"/>
      <c r="I66" s="8"/>
      <c r="J66" s="8"/>
      <c r="K66" s="8"/>
      <c r="L66" s="8"/>
      <c r="M66" s="8"/>
      <c r="N66" s="8"/>
      <c r="O66" s="8"/>
      <c r="P66" s="8"/>
      <c r="Q66" s="8"/>
      <c r="R66" s="8"/>
      <c r="S66" s="8"/>
      <c r="T66" s="8"/>
      <c r="U66" s="8"/>
      <c r="V66" s="8"/>
      <c r="W66" s="8"/>
      <c r="X66" s="13"/>
      <c r="Y66" s="13"/>
      <c r="Z66" s="13"/>
      <c r="AA66" s="13"/>
      <c r="AB66" s="13"/>
      <c r="AC66" s="13"/>
      <c r="AD66" s="13"/>
      <c r="AE66" s="13"/>
    </row>
    <row r="67" spans="2:31" s="9" customFormat="1" x14ac:dyDescent="0.3">
      <c r="B67" s="8"/>
      <c r="C67" s="8"/>
      <c r="D67" s="8"/>
      <c r="E67" s="8"/>
      <c r="F67" s="8"/>
      <c r="G67" s="8"/>
      <c r="H67" s="8"/>
      <c r="I67" s="8"/>
      <c r="J67" s="8"/>
      <c r="K67" s="8"/>
      <c r="L67" s="8"/>
      <c r="M67" s="8"/>
      <c r="N67" s="8"/>
      <c r="O67" s="8"/>
      <c r="P67" s="8"/>
      <c r="Q67" s="8"/>
      <c r="R67" s="8"/>
      <c r="S67" s="8"/>
      <c r="T67" s="8"/>
      <c r="U67" s="8"/>
      <c r="V67" s="8"/>
      <c r="W67" s="8"/>
      <c r="X67" s="13"/>
      <c r="Y67" s="13"/>
      <c r="Z67" s="13"/>
      <c r="AA67" s="13"/>
      <c r="AB67" s="13"/>
      <c r="AC67" s="13"/>
      <c r="AD67" s="13"/>
      <c r="AE67" s="13"/>
    </row>
    <row r="68" spans="2:31" s="9" customFormat="1" x14ac:dyDescent="0.3">
      <c r="B68" s="8"/>
      <c r="C68" s="8"/>
      <c r="D68" s="8"/>
      <c r="E68" s="8"/>
      <c r="F68" s="8"/>
      <c r="G68" s="8"/>
      <c r="H68" s="8"/>
      <c r="I68" s="8"/>
      <c r="J68" s="8"/>
      <c r="K68" s="8"/>
      <c r="L68" s="8"/>
      <c r="M68" s="8"/>
      <c r="N68" s="8"/>
      <c r="O68" s="8"/>
      <c r="P68" s="8"/>
      <c r="Q68" s="8"/>
      <c r="R68" s="8"/>
      <c r="S68" s="8"/>
      <c r="T68" s="8"/>
      <c r="U68" s="8"/>
      <c r="V68" s="8"/>
      <c r="W68" s="8"/>
      <c r="X68" s="13"/>
      <c r="Y68" s="13"/>
      <c r="Z68" s="13"/>
      <c r="AA68" s="13"/>
      <c r="AB68" s="13"/>
      <c r="AC68" s="13"/>
      <c r="AD68" s="13"/>
      <c r="AE68" s="13"/>
    </row>
    <row r="69" spans="2:31" s="9" customFormat="1" x14ac:dyDescent="0.3">
      <c r="B69" s="8"/>
      <c r="C69" s="8"/>
      <c r="D69" s="8"/>
      <c r="E69" s="8"/>
      <c r="F69" s="8"/>
      <c r="G69" s="8"/>
      <c r="H69" s="8"/>
      <c r="I69" s="8"/>
      <c r="J69" s="8"/>
      <c r="K69" s="8"/>
      <c r="L69" s="8"/>
      <c r="M69" s="8"/>
      <c r="N69" s="8"/>
      <c r="O69" s="8"/>
      <c r="P69" s="8"/>
      <c r="Q69" s="8"/>
      <c r="R69" s="8"/>
      <c r="S69" s="8"/>
      <c r="T69" s="8"/>
      <c r="U69" s="8"/>
      <c r="V69" s="8"/>
      <c r="W69" s="8"/>
      <c r="X69" s="13"/>
      <c r="Y69" s="13"/>
      <c r="Z69" s="13"/>
      <c r="AA69" s="13"/>
      <c r="AB69" s="13"/>
      <c r="AC69" s="13"/>
      <c r="AD69" s="13"/>
      <c r="AE69" s="13"/>
    </row>
    <row r="70" spans="2:31" s="9" customFormat="1" x14ac:dyDescent="0.3">
      <c r="B70" s="8"/>
      <c r="C70" s="8"/>
      <c r="D70" s="8"/>
      <c r="E70" s="8"/>
      <c r="F70" s="8"/>
      <c r="G70" s="8"/>
      <c r="H70" s="8"/>
      <c r="I70" s="8"/>
      <c r="J70" s="8"/>
      <c r="K70" s="8"/>
      <c r="L70" s="8"/>
      <c r="M70" s="8"/>
      <c r="N70" s="8"/>
      <c r="O70" s="8"/>
      <c r="P70" s="8"/>
      <c r="Q70" s="8"/>
      <c r="R70" s="8"/>
      <c r="S70" s="8"/>
      <c r="T70" s="8"/>
      <c r="U70" s="8"/>
      <c r="V70" s="8"/>
      <c r="W70" s="8"/>
      <c r="X70" s="13"/>
      <c r="Y70" s="13"/>
      <c r="Z70" s="13"/>
      <c r="AA70" s="13"/>
      <c r="AB70" s="13"/>
      <c r="AC70" s="13"/>
      <c r="AD70" s="13"/>
      <c r="AE70" s="13"/>
    </row>
    <row r="71" spans="2:31" s="9" customFormat="1" x14ac:dyDescent="0.3">
      <c r="B71" s="8"/>
      <c r="C71" s="8"/>
      <c r="D71" s="8"/>
      <c r="E71" s="8"/>
      <c r="F71" s="8"/>
      <c r="G71" s="8"/>
      <c r="H71" s="8"/>
      <c r="I71" s="8"/>
      <c r="J71" s="8"/>
      <c r="K71" s="8"/>
      <c r="L71" s="8"/>
      <c r="M71" s="8"/>
      <c r="N71" s="8"/>
      <c r="O71" s="8"/>
      <c r="P71" s="8"/>
      <c r="Q71" s="8"/>
      <c r="R71" s="8"/>
      <c r="S71" s="8"/>
      <c r="T71" s="8"/>
      <c r="U71" s="8"/>
      <c r="V71" s="8"/>
      <c r="W71" s="8"/>
      <c r="X71" s="13"/>
      <c r="Y71" s="13"/>
      <c r="Z71" s="13"/>
      <c r="AA71" s="13"/>
      <c r="AB71" s="13"/>
      <c r="AC71" s="13"/>
      <c r="AD71" s="13"/>
      <c r="AE71" s="13"/>
    </row>
    <row r="72" spans="2:31" s="9" customFormat="1" x14ac:dyDescent="0.3">
      <c r="B72" s="13"/>
      <c r="C72" s="13"/>
      <c r="D72" s="13"/>
      <c r="E72" s="13"/>
      <c r="F72" s="13"/>
      <c r="G72" s="13"/>
      <c r="H72" s="13"/>
      <c r="I72" s="13"/>
      <c r="J72" s="13"/>
      <c r="K72" s="8"/>
      <c r="L72" s="8"/>
      <c r="M72" s="13"/>
      <c r="N72" s="13"/>
      <c r="O72" s="13"/>
      <c r="P72" s="13"/>
      <c r="Q72" s="13"/>
      <c r="R72" s="13"/>
      <c r="S72" s="13"/>
      <c r="T72" s="13"/>
      <c r="U72" s="13"/>
      <c r="V72" s="8"/>
      <c r="W72" s="8"/>
      <c r="X72" s="13"/>
      <c r="Y72" s="13"/>
      <c r="Z72" s="13"/>
      <c r="AA72" s="13"/>
      <c r="AB72" s="13"/>
      <c r="AC72" s="13"/>
      <c r="AD72" s="13"/>
      <c r="AE72" s="13"/>
    </row>
    <row r="73" spans="2:31" s="9" customFormat="1" x14ac:dyDescent="0.3">
      <c r="B73" s="13"/>
      <c r="C73" s="13"/>
      <c r="D73" s="13"/>
      <c r="E73" s="13"/>
      <c r="F73" s="13"/>
      <c r="G73" s="13"/>
      <c r="H73" s="13"/>
      <c r="I73" s="13"/>
      <c r="J73" s="13"/>
      <c r="K73" s="8"/>
      <c r="L73" s="8"/>
      <c r="M73" s="13"/>
      <c r="N73" s="13"/>
      <c r="O73" s="13"/>
      <c r="P73" s="13"/>
      <c r="Q73" s="13"/>
      <c r="R73" s="13"/>
      <c r="S73" s="13"/>
      <c r="T73" s="13"/>
      <c r="U73" s="13"/>
      <c r="V73" s="8"/>
      <c r="W73" s="8"/>
      <c r="X73" s="13"/>
      <c r="Y73" s="13"/>
      <c r="Z73" s="13"/>
      <c r="AA73" s="13"/>
      <c r="AB73" s="13"/>
      <c r="AC73" s="13"/>
      <c r="AD73" s="13"/>
      <c r="AE73" s="13"/>
    </row>
    <row r="74" spans="2:31" s="9" customFormat="1" x14ac:dyDescent="0.3">
      <c r="B74" s="18" t="s">
        <v>926</v>
      </c>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row>
    <row r="75" spans="2:31" s="9" customFormat="1" ht="31.2" customHeight="1" x14ac:dyDescent="0.3">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row>
    <row r="76" spans="2:31" s="9" customFormat="1" ht="17.399999999999999" customHeight="1" x14ac:dyDescent="0.3">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row>
    <row r="77" spans="2:31" s="9" customFormat="1" x14ac:dyDescent="0.3">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row>
    <row r="78" spans="2:31" s="9" customFormat="1" x14ac:dyDescent="0.3">
      <c r="B78" s="8"/>
      <c r="C78" s="8"/>
      <c r="D78" s="8"/>
      <c r="E78" s="8"/>
      <c r="F78" s="8"/>
      <c r="G78" s="8"/>
      <c r="H78" s="8"/>
      <c r="I78" s="8"/>
      <c r="J78" s="8"/>
      <c r="K78" s="8"/>
      <c r="L78" s="8"/>
      <c r="M78" s="8"/>
      <c r="N78" s="8"/>
      <c r="O78" s="8"/>
      <c r="P78" s="8"/>
      <c r="Q78" s="8"/>
      <c r="R78" s="8"/>
      <c r="S78" s="8"/>
      <c r="T78" s="8"/>
      <c r="U78" s="8"/>
      <c r="V78" s="8"/>
      <c r="W78" s="8"/>
      <c r="X78" s="13"/>
      <c r="Y78" s="13"/>
      <c r="Z78" s="13"/>
      <c r="AA78" s="13"/>
      <c r="AB78" s="13"/>
      <c r="AC78" s="13"/>
      <c r="AD78" s="13"/>
      <c r="AE78" s="13"/>
    </row>
    <row r="79" spans="2:31" s="9" customFormat="1" x14ac:dyDescent="0.3">
      <c r="B79" s="8"/>
      <c r="C79" s="8"/>
      <c r="D79" s="8"/>
      <c r="E79" s="8"/>
      <c r="F79" s="8"/>
      <c r="G79" s="8"/>
      <c r="H79" s="8"/>
      <c r="I79" s="8"/>
      <c r="J79" s="8"/>
      <c r="K79" s="8"/>
      <c r="L79" s="8"/>
      <c r="M79" s="8"/>
      <c r="N79" s="8"/>
      <c r="O79" s="8"/>
      <c r="P79" s="8"/>
      <c r="Q79" s="8"/>
      <c r="R79" s="8"/>
      <c r="S79" s="8"/>
      <c r="T79" s="8"/>
      <c r="U79" s="8"/>
      <c r="V79" s="8"/>
      <c r="W79" s="8"/>
      <c r="X79" s="13"/>
      <c r="Y79" s="13"/>
      <c r="Z79" s="13"/>
      <c r="AA79" s="13"/>
      <c r="AB79" s="13"/>
      <c r="AC79" s="13"/>
      <c r="AD79" s="13"/>
      <c r="AE79" s="13"/>
    </row>
    <row r="80" spans="2:31" s="9" customFormat="1" x14ac:dyDescent="0.3">
      <c r="B80" s="8"/>
      <c r="C80" s="8"/>
      <c r="D80" s="8"/>
      <c r="E80" s="8"/>
      <c r="F80" s="8"/>
      <c r="G80" s="8"/>
      <c r="H80" s="8"/>
      <c r="I80" s="8"/>
      <c r="J80" s="8"/>
      <c r="K80" s="8"/>
      <c r="L80" s="8"/>
      <c r="M80" s="8"/>
      <c r="N80" s="8"/>
      <c r="O80" s="8"/>
      <c r="P80" s="8"/>
      <c r="Q80" s="8"/>
      <c r="R80" s="8"/>
      <c r="S80" s="8"/>
      <c r="T80" s="8"/>
      <c r="U80" s="8"/>
      <c r="V80" s="8"/>
      <c r="W80" s="8"/>
      <c r="X80" s="13"/>
      <c r="Y80" s="13"/>
      <c r="Z80" s="13"/>
      <c r="AA80" s="13"/>
      <c r="AB80" s="13"/>
      <c r="AC80" s="13"/>
      <c r="AD80" s="13"/>
      <c r="AE80" s="13"/>
    </row>
    <row r="81" spans="2:31" s="9" customFormat="1" x14ac:dyDescent="0.3">
      <c r="B81" s="8"/>
      <c r="C81" s="8"/>
      <c r="D81" s="8"/>
      <c r="E81" s="8"/>
      <c r="F81" s="8"/>
      <c r="G81" s="8"/>
      <c r="H81" s="8"/>
      <c r="I81" s="8"/>
      <c r="J81" s="8"/>
      <c r="K81" s="8"/>
      <c r="L81" s="8"/>
      <c r="M81" s="8"/>
      <c r="N81" s="8"/>
      <c r="O81" s="8"/>
      <c r="P81" s="8"/>
      <c r="Q81" s="8"/>
      <c r="R81" s="8"/>
      <c r="S81" s="8"/>
      <c r="T81" s="8"/>
      <c r="U81" s="8"/>
      <c r="V81" s="8"/>
      <c r="W81" s="8"/>
      <c r="X81" s="13"/>
      <c r="Y81" s="13"/>
      <c r="Z81" s="13"/>
      <c r="AA81" s="13"/>
      <c r="AB81" s="13"/>
      <c r="AC81" s="13"/>
      <c r="AD81" s="13"/>
      <c r="AE81" s="13"/>
    </row>
    <row r="82" spans="2:31" s="9" customFormat="1" x14ac:dyDescent="0.3">
      <c r="B82" s="8"/>
      <c r="C82" s="8"/>
      <c r="D82" s="8"/>
      <c r="E82" s="8"/>
      <c r="F82" s="8"/>
      <c r="G82" s="8"/>
      <c r="H82" s="8"/>
      <c r="I82" s="8"/>
      <c r="J82" s="8"/>
      <c r="K82" s="8"/>
      <c r="L82" s="8"/>
      <c r="M82" s="8"/>
      <c r="N82" s="8"/>
      <c r="O82" s="8"/>
      <c r="P82" s="8"/>
      <c r="Q82" s="8"/>
      <c r="R82" s="8"/>
      <c r="S82" s="8"/>
      <c r="T82" s="8"/>
      <c r="U82" s="8"/>
      <c r="V82" s="8"/>
      <c r="W82" s="8"/>
      <c r="X82" s="13"/>
      <c r="Y82" s="13"/>
      <c r="Z82" s="13"/>
      <c r="AA82" s="13"/>
      <c r="AB82" s="13"/>
      <c r="AC82" s="13"/>
      <c r="AD82" s="13"/>
      <c r="AE82" s="13"/>
    </row>
    <row r="83" spans="2:31" s="9" customFormat="1" x14ac:dyDescent="0.3">
      <c r="B83" s="8"/>
      <c r="C83" s="8"/>
      <c r="D83" s="8"/>
      <c r="E83" s="8"/>
      <c r="F83" s="8"/>
      <c r="G83" s="8"/>
      <c r="H83" s="8"/>
      <c r="I83" s="8"/>
      <c r="J83" s="8"/>
      <c r="K83" s="8"/>
      <c r="L83" s="8"/>
      <c r="M83" s="8"/>
      <c r="N83" s="8"/>
      <c r="O83" s="8"/>
      <c r="P83" s="8"/>
      <c r="Q83" s="8"/>
      <c r="R83" s="8"/>
      <c r="S83" s="8"/>
      <c r="T83" s="8"/>
      <c r="U83" s="8"/>
      <c r="V83" s="8"/>
      <c r="W83" s="8"/>
      <c r="X83" s="13"/>
      <c r="Y83" s="13"/>
      <c r="Z83" s="13"/>
      <c r="AA83" s="13"/>
      <c r="AB83" s="13"/>
      <c r="AC83" s="13"/>
      <c r="AD83" s="13"/>
      <c r="AE83" s="13"/>
    </row>
    <row r="84" spans="2:31" s="9" customFormat="1" x14ac:dyDescent="0.3">
      <c r="B84" s="8"/>
      <c r="C84" s="8"/>
      <c r="D84" s="8"/>
      <c r="E84" s="8"/>
      <c r="F84" s="8"/>
      <c r="G84" s="8"/>
      <c r="H84" s="8"/>
      <c r="I84" s="8"/>
      <c r="J84" s="8"/>
      <c r="K84" s="8"/>
      <c r="L84" s="8"/>
      <c r="M84" s="8"/>
      <c r="N84" s="8"/>
      <c r="O84" s="8"/>
      <c r="P84" s="8"/>
      <c r="Q84" s="8"/>
      <c r="R84" s="8"/>
      <c r="S84" s="8"/>
      <c r="T84" s="8"/>
      <c r="U84" s="8"/>
      <c r="V84" s="8"/>
      <c r="W84" s="8"/>
      <c r="X84" s="13"/>
      <c r="Y84" s="13"/>
      <c r="Z84" s="13"/>
      <c r="AA84" s="13"/>
      <c r="AB84" s="13"/>
      <c r="AC84" s="13"/>
      <c r="AD84" s="13"/>
      <c r="AE84" s="13"/>
    </row>
    <row r="85" spans="2:31" s="9" customFormat="1" x14ac:dyDescent="0.3">
      <c r="B85" s="8"/>
      <c r="C85" s="8"/>
      <c r="D85" s="8"/>
      <c r="E85" s="8"/>
      <c r="F85" s="8"/>
      <c r="G85" s="8"/>
      <c r="H85" s="8"/>
      <c r="I85" s="8"/>
      <c r="J85" s="8"/>
      <c r="K85" s="8"/>
      <c r="L85" s="8"/>
      <c r="M85" s="8"/>
      <c r="N85" s="8"/>
      <c r="O85" s="8"/>
      <c r="P85" s="8"/>
      <c r="Q85" s="8"/>
      <c r="R85" s="8"/>
      <c r="S85" s="8"/>
      <c r="T85" s="8"/>
      <c r="U85" s="8"/>
      <c r="V85" s="8"/>
      <c r="W85" s="8"/>
      <c r="X85" s="13"/>
      <c r="Y85" s="13"/>
      <c r="Z85" s="13"/>
      <c r="AA85" s="13"/>
      <c r="AB85" s="13"/>
      <c r="AC85" s="13"/>
      <c r="AD85" s="13"/>
      <c r="AE85" s="13"/>
    </row>
    <row r="86" spans="2:31" s="9" customFormat="1" x14ac:dyDescent="0.3">
      <c r="B86" s="8"/>
      <c r="C86" s="8"/>
      <c r="D86" s="8"/>
      <c r="E86" s="8"/>
      <c r="F86" s="8"/>
      <c r="G86" s="8"/>
      <c r="H86" s="8"/>
      <c r="I86" s="8"/>
      <c r="J86" s="8"/>
      <c r="K86" s="8"/>
      <c r="L86" s="8"/>
      <c r="M86" s="8"/>
      <c r="N86" s="8"/>
      <c r="O86" s="8"/>
      <c r="P86" s="8"/>
      <c r="Q86" s="8"/>
      <c r="R86" s="8"/>
      <c r="S86" s="8"/>
      <c r="T86" s="8"/>
      <c r="U86" s="8"/>
      <c r="V86" s="8"/>
      <c r="W86" s="8"/>
      <c r="X86" s="13"/>
      <c r="Y86" s="13"/>
      <c r="Z86" s="13"/>
      <c r="AA86" s="13"/>
      <c r="AB86" s="13"/>
      <c r="AC86" s="13"/>
      <c r="AD86" s="13"/>
      <c r="AE86" s="13"/>
    </row>
    <row r="87" spans="2:31" s="9" customFormat="1" x14ac:dyDescent="0.3">
      <c r="B87" s="8"/>
      <c r="C87" s="8"/>
      <c r="D87" s="8"/>
      <c r="E87" s="8"/>
      <c r="F87" s="8"/>
      <c r="G87" s="8"/>
      <c r="H87" s="8"/>
      <c r="I87" s="8"/>
      <c r="J87" s="8"/>
      <c r="K87" s="8"/>
      <c r="L87" s="8"/>
      <c r="M87" s="8"/>
      <c r="N87" s="8"/>
      <c r="O87" s="8"/>
      <c r="P87" s="8"/>
      <c r="Q87" s="8"/>
      <c r="R87" s="8"/>
      <c r="S87" s="8"/>
      <c r="T87" s="8"/>
      <c r="U87" s="8"/>
      <c r="V87" s="8"/>
      <c r="W87" s="8"/>
      <c r="X87" s="13"/>
      <c r="Y87" s="13"/>
      <c r="Z87" s="13"/>
      <c r="AA87" s="13"/>
      <c r="AB87" s="13"/>
      <c r="AC87" s="13"/>
      <c r="AD87" s="13"/>
      <c r="AE87" s="13"/>
    </row>
    <row r="88" spans="2:31" s="9" customFormat="1" x14ac:dyDescent="0.3">
      <c r="B88" s="8"/>
      <c r="C88" s="8"/>
      <c r="D88" s="8"/>
      <c r="E88" s="8"/>
      <c r="F88" s="8"/>
      <c r="G88" s="8"/>
      <c r="H88" s="8"/>
      <c r="I88" s="8"/>
      <c r="J88" s="8"/>
      <c r="K88" s="8"/>
      <c r="L88" s="8"/>
      <c r="M88" s="8"/>
      <c r="N88" s="8"/>
      <c r="O88" s="8"/>
      <c r="P88" s="8"/>
      <c r="Q88" s="8"/>
      <c r="R88" s="8"/>
      <c r="S88" s="8"/>
      <c r="T88" s="8"/>
      <c r="U88" s="8"/>
      <c r="V88" s="8"/>
      <c r="W88" s="8"/>
      <c r="X88" s="13"/>
      <c r="Y88" s="13"/>
      <c r="Z88" s="13"/>
      <c r="AA88" s="13"/>
      <c r="AB88" s="13"/>
      <c r="AC88" s="13"/>
      <c r="AD88" s="13"/>
      <c r="AE88" s="13"/>
    </row>
    <row r="89" spans="2:31" s="9" customFormat="1" x14ac:dyDescent="0.3">
      <c r="B89" s="8"/>
      <c r="C89" s="8"/>
      <c r="D89" s="8"/>
      <c r="E89" s="8"/>
      <c r="F89" s="8"/>
      <c r="G89" s="8"/>
      <c r="H89" s="8"/>
      <c r="I89" s="8"/>
      <c r="J89" s="8"/>
      <c r="K89" s="8"/>
      <c r="L89" s="8"/>
      <c r="M89" s="8"/>
      <c r="N89" s="8"/>
      <c r="O89" s="8"/>
      <c r="P89" s="8"/>
      <c r="Q89" s="8"/>
      <c r="R89" s="8"/>
      <c r="S89" s="8"/>
      <c r="T89" s="8"/>
      <c r="U89" s="8"/>
      <c r="V89" s="8"/>
      <c r="W89" s="8"/>
      <c r="X89" s="13"/>
      <c r="Y89" s="13"/>
      <c r="Z89" s="13"/>
      <c r="AA89" s="13"/>
      <c r="AB89" s="13"/>
      <c r="AC89" s="13"/>
      <c r="AD89" s="13"/>
      <c r="AE89" s="13"/>
    </row>
    <row r="90" spans="2:31" s="9" customFormat="1" x14ac:dyDescent="0.3">
      <c r="B90" s="8"/>
      <c r="C90" s="8"/>
      <c r="D90" s="8"/>
      <c r="E90" s="8"/>
      <c r="F90" s="8"/>
      <c r="G90" s="8"/>
      <c r="H90" s="8"/>
      <c r="I90" s="8"/>
      <c r="J90" s="8"/>
      <c r="K90" s="8"/>
      <c r="L90" s="8"/>
      <c r="M90" s="8"/>
      <c r="N90" s="8"/>
      <c r="O90" s="8"/>
      <c r="P90" s="8"/>
      <c r="Q90" s="8"/>
      <c r="R90" s="8"/>
      <c r="S90" s="8"/>
      <c r="T90" s="8"/>
      <c r="U90" s="8"/>
      <c r="V90" s="8"/>
      <c r="W90" s="8"/>
      <c r="X90" s="13"/>
      <c r="Y90" s="13"/>
      <c r="Z90" s="13"/>
      <c r="AA90" s="13"/>
      <c r="AB90" s="13"/>
      <c r="AC90" s="13"/>
      <c r="AD90" s="13"/>
      <c r="AE90" s="13"/>
    </row>
    <row r="91" spans="2:31" s="9" customFormat="1" x14ac:dyDescent="0.3">
      <c r="B91" s="8"/>
      <c r="C91" s="8"/>
      <c r="D91" s="8"/>
      <c r="E91" s="8"/>
      <c r="F91" s="8"/>
      <c r="G91" s="8"/>
      <c r="H91" s="8"/>
      <c r="I91" s="8"/>
      <c r="J91" s="8"/>
      <c r="K91" s="8"/>
      <c r="L91" s="8"/>
      <c r="M91" s="8"/>
      <c r="N91" s="8"/>
      <c r="O91" s="8"/>
      <c r="P91" s="8"/>
      <c r="Q91" s="8"/>
      <c r="R91" s="8"/>
      <c r="S91" s="8"/>
      <c r="T91" s="8"/>
      <c r="U91" s="8"/>
      <c r="V91" s="8"/>
      <c r="W91" s="8"/>
      <c r="X91" s="13"/>
      <c r="Y91" s="13"/>
      <c r="Z91" s="13"/>
      <c r="AA91" s="13"/>
      <c r="AB91" s="13"/>
      <c r="AC91" s="13"/>
      <c r="AD91" s="13"/>
      <c r="AE91" s="13"/>
    </row>
    <row r="92" spans="2:31" s="9" customFormat="1" x14ac:dyDescent="0.3">
      <c r="B92" s="8"/>
      <c r="C92" s="8"/>
      <c r="D92" s="8"/>
      <c r="E92" s="8"/>
      <c r="F92" s="8"/>
      <c r="G92" s="8"/>
      <c r="H92" s="8"/>
      <c r="I92" s="8"/>
      <c r="J92" s="8"/>
      <c r="K92" s="8"/>
      <c r="L92" s="8"/>
      <c r="M92" s="8"/>
      <c r="N92" s="8"/>
      <c r="O92" s="8"/>
      <c r="P92" s="8"/>
      <c r="Q92" s="8"/>
      <c r="R92" s="8"/>
      <c r="S92" s="8"/>
      <c r="T92" s="8"/>
      <c r="U92" s="8"/>
      <c r="V92" s="8"/>
      <c r="W92" s="8"/>
      <c r="X92" s="13"/>
      <c r="Y92" s="13"/>
      <c r="Z92" s="13"/>
      <c r="AA92" s="13"/>
      <c r="AB92" s="13"/>
      <c r="AC92" s="13"/>
      <c r="AD92" s="13"/>
      <c r="AE92" s="13"/>
    </row>
    <row r="93" spans="2:31" s="9" customFormat="1" x14ac:dyDescent="0.3">
      <c r="B93" s="8"/>
      <c r="C93" s="8"/>
      <c r="D93" s="8"/>
      <c r="E93" s="8"/>
      <c r="F93" s="8"/>
      <c r="G93" s="8"/>
      <c r="H93" s="8"/>
      <c r="I93" s="8"/>
      <c r="J93" s="8"/>
      <c r="K93" s="8"/>
      <c r="L93" s="8"/>
      <c r="M93" s="8"/>
      <c r="N93" s="8"/>
      <c r="O93" s="8"/>
      <c r="P93" s="8"/>
      <c r="Q93" s="8"/>
      <c r="R93" s="8"/>
      <c r="S93" s="8"/>
      <c r="T93" s="8"/>
      <c r="U93" s="8"/>
      <c r="V93" s="8"/>
      <c r="W93" s="8"/>
      <c r="X93" s="13"/>
      <c r="Y93" s="13"/>
      <c r="Z93" s="13"/>
      <c r="AA93" s="13"/>
      <c r="AB93" s="13"/>
      <c r="AC93" s="13"/>
      <c r="AD93" s="13"/>
      <c r="AE93" s="13"/>
    </row>
    <row r="94" spans="2:31" s="9" customFormat="1" x14ac:dyDescent="0.3">
      <c r="B94" s="8"/>
      <c r="C94" s="8"/>
      <c r="D94" s="8"/>
      <c r="E94" s="8"/>
      <c r="F94" s="8"/>
      <c r="G94" s="8"/>
      <c r="H94" s="8"/>
      <c r="I94" s="8"/>
      <c r="J94" s="8"/>
      <c r="K94" s="8"/>
      <c r="L94" s="8"/>
      <c r="M94" s="8"/>
      <c r="N94" s="8"/>
      <c r="O94" s="8"/>
      <c r="P94" s="8"/>
      <c r="Q94" s="8"/>
      <c r="R94" s="8"/>
      <c r="S94" s="8"/>
      <c r="T94" s="8"/>
      <c r="U94" s="8"/>
      <c r="V94" s="8"/>
      <c r="W94" s="8"/>
      <c r="X94" s="13"/>
      <c r="Y94" s="13"/>
      <c r="Z94" s="13"/>
      <c r="AA94" s="13"/>
      <c r="AB94" s="13"/>
      <c r="AC94" s="13"/>
      <c r="AD94" s="13"/>
      <c r="AE94" s="13"/>
    </row>
    <row r="95" spans="2:31" s="9" customFormat="1" x14ac:dyDescent="0.3">
      <c r="B95" s="8"/>
      <c r="C95" s="8"/>
      <c r="D95" s="8"/>
      <c r="E95" s="8"/>
      <c r="F95" s="8"/>
      <c r="G95" s="8"/>
      <c r="H95" s="8"/>
      <c r="I95" s="8"/>
      <c r="J95" s="8"/>
      <c r="K95" s="8"/>
      <c r="L95" s="8"/>
      <c r="M95" s="8"/>
      <c r="N95" s="8"/>
      <c r="O95" s="8"/>
      <c r="P95" s="8"/>
      <c r="Q95" s="8"/>
      <c r="R95" s="8"/>
      <c r="S95" s="8"/>
      <c r="T95" s="8"/>
      <c r="U95" s="8"/>
      <c r="V95" s="8"/>
      <c r="W95" s="8"/>
      <c r="X95" s="13"/>
      <c r="Y95" s="13"/>
      <c r="Z95" s="13"/>
      <c r="AA95" s="13"/>
      <c r="AB95" s="13"/>
      <c r="AC95" s="13"/>
      <c r="AD95" s="13"/>
      <c r="AE95" s="13"/>
    </row>
    <row r="96" spans="2:31" x14ac:dyDescent="0.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row>
    <row r="97" spans="2:31" x14ac:dyDescent="0.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row>
    <row r="98" spans="2:31" x14ac:dyDescent="0.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row>
    <row r="99" spans="2:31" x14ac:dyDescent="0.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row>
    <row r="100" spans="2:31" x14ac:dyDescent="0.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row>
    <row r="101" spans="2:31" x14ac:dyDescent="0.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row>
    <row r="102" spans="2:31" x14ac:dyDescent="0.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row>
  </sheetData>
  <mergeCells count="10">
    <mergeCell ref="B2:AE2"/>
    <mergeCell ref="B3:AE3"/>
    <mergeCell ref="E10:J19"/>
    <mergeCell ref="K10:P19"/>
    <mergeCell ref="Q10:V19"/>
    <mergeCell ref="W10:AB19"/>
    <mergeCell ref="B6:AE9"/>
    <mergeCell ref="B45:AE49"/>
    <mergeCell ref="B20:AE23"/>
    <mergeCell ref="B74:AE77"/>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84A5B39F-C7EB-4114-B274-76981C642B3D}">
  <ds:schemaRefs/>
</ds:datastoreItem>
</file>

<file path=customXml/itemProps2.xml><?xml version="1.0" encoding="utf-8"?>
<ds:datastoreItem xmlns:ds="http://schemas.openxmlformats.org/officeDocument/2006/customXml" ds:itemID="{DE7F0513-7D29-45D1-8141-CE2134C50884}">
  <ds:schemaRefs/>
</ds:datastoreItem>
</file>

<file path=customXml/itemProps3.xml><?xml version="1.0" encoding="utf-8"?>
<ds:datastoreItem xmlns:ds="http://schemas.openxmlformats.org/officeDocument/2006/customXml" ds:itemID="{F08307B3-885A-429F-9C56-A25D8E2BA76A}">
  <ds:schemaRefs/>
</ds:datastoreItem>
</file>

<file path=customXml/itemProps4.xml><?xml version="1.0" encoding="utf-8"?>
<ds:datastoreItem xmlns:ds="http://schemas.openxmlformats.org/officeDocument/2006/customXml" ds:itemID="{A1007EA6-ED92-4ECA-ACEB-9734361FB62B}">
  <ds:schemaRefs/>
</ds:datastoreItem>
</file>

<file path=customXml/itemProps5.xml><?xml version="1.0" encoding="utf-8"?>
<ds:datastoreItem xmlns:ds="http://schemas.openxmlformats.org/officeDocument/2006/customXml" ds:itemID="{1A72773C-FAB6-4D90-A714-70EFD06CD583}">
  <ds:schemaRefs/>
</ds:datastoreItem>
</file>

<file path=customXml/itemProps6.xml><?xml version="1.0" encoding="utf-8"?>
<ds:datastoreItem xmlns:ds="http://schemas.openxmlformats.org/officeDocument/2006/customXml" ds:itemID="{31D1DDF0-7855-49CA-9F1A-BB8C23485C39}">
  <ds:schemaRefs/>
</ds:datastoreItem>
</file>

<file path=customXml/itemProps7.xml><?xml version="1.0" encoding="utf-8"?>
<ds:datastoreItem xmlns:ds="http://schemas.openxmlformats.org/officeDocument/2006/customXml" ds:itemID="{CAB2A319-87FC-45F5-BFAF-B9F6B5364B1B}">
  <ds:schemaRefs/>
</ds:datastoreItem>
</file>

<file path=customXml/itemProps8.xml><?xml version="1.0" encoding="utf-8"?>
<ds:datastoreItem xmlns:ds="http://schemas.openxmlformats.org/officeDocument/2006/customXml" ds:itemID="{AAB46EEA-D3B7-467E-9F63-9A6844E28FC2}">
  <ds:schemaRefs/>
</ds:datastoreItem>
</file>

<file path=customXml/itemProps9.xml><?xml version="1.0" encoding="utf-8"?>
<ds:datastoreItem xmlns:ds="http://schemas.openxmlformats.org/officeDocument/2006/customXml" ds:itemID="{CE71CAAA-9A6A-48E5-9BC4-2599E09394C8}">
  <ds:schemaRefs/>
</ds:datastoreItem>
</file>

<file path=customXml/itemProps10.xml><?xml version="1.0" encoding="utf-8"?>
<ds:datastoreItem xmlns:ds="http://schemas.openxmlformats.org/officeDocument/2006/customXml" ds:itemID="{87956FB9-63A1-4D1F-B520-80CD05AC35AD}">
  <ds:schemaRefs/>
</ds:datastoreItem>
</file>

<file path=customXml/itemProps11.xml><?xml version="1.0" encoding="utf-8"?>
<ds:datastoreItem xmlns:ds="http://schemas.openxmlformats.org/officeDocument/2006/customXml" ds:itemID="{450569E6-BC47-4C4F-B992-BEA2E4F298B3}">
  <ds:schemaRefs/>
</ds:datastoreItem>
</file>

<file path=customXml/itemProps12.xml><?xml version="1.0" encoding="utf-8"?>
<ds:datastoreItem xmlns:ds="http://schemas.openxmlformats.org/officeDocument/2006/customXml" ds:itemID="{3F1065C3-D329-4198-AEE0-F4726993FA3E}">
  <ds:schemaRefs/>
</ds:datastoreItem>
</file>

<file path=customXml/itemProps13.xml><?xml version="1.0" encoding="utf-8"?>
<ds:datastoreItem xmlns:ds="http://schemas.openxmlformats.org/officeDocument/2006/customXml" ds:itemID="{52A626E1-092D-49D2-B99B-07312562C7E0}">
  <ds:schemaRefs/>
</ds:datastoreItem>
</file>

<file path=customXml/itemProps14.xml><?xml version="1.0" encoding="utf-8"?>
<ds:datastoreItem xmlns:ds="http://schemas.openxmlformats.org/officeDocument/2006/customXml" ds:itemID="{9613485B-510A-4B45-823D-B5CFEB3726F3}">
  <ds:schemaRefs/>
</ds:datastoreItem>
</file>

<file path=customXml/itemProps15.xml><?xml version="1.0" encoding="utf-8"?>
<ds:datastoreItem xmlns:ds="http://schemas.openxmlformats.org/officeDocument/2006/customXml" ds:itemID="{17FF6E2B-8C85-48F6-B1DB-0CC3E17AEBB2}">
  <ds:schemaRefs/>
</ds:datastoreItem>
</file>

<file path=customXml/itemProps16.xml><?xml version="1.0" encoding="utf-8"?>
<ds:datastoreItem xmlns:ds="http://schemas.openxmlformats.org/officeDocument/2006/customXml" ds:itemID="{DC62AE86-731E-4AA4-B89A-EE55126DF6F5}">
  <ds:schemaRefs/>
</ds:datastoreItem>
</file>

<file path=customXml/itemProps17.xml><?xml version="1.0" encoding="utf-8"?>
<ds:datastoreItem xmlns:ds="http://schemas.openxmlformats.org/officeDocument/2006/customXml" ds:itemID="{F8827984-2C90-44C2-9BD2-A987B8F0BBD6}">
  <ds:schemaRefs/>
</ds:datastoreItem>
</file>

<file path=customXml/itemProps18.xml><?xml version="1.0" encoding="utf-8"?>
<ds:datastoreItem xmlns:ds="http://schemas.openxmlformats.org/officeDocument/2006/customXml" ds:itemID="{AC500CC4-053B-414E-B558-4E97050A717A}">
  <ds:schemaRefs/>
</ds:datastoreItem>
</file>

<file path=customXml/itemProps19.xml><?xml version="1.0" encoding="utf-8"?>
<ds:datastoreItem xmlns:ds="http://schemas.openxmlformats.org/officeDocument/2006/customXml" ds:itemID="{555080A5-EE43-4CD2-BFBD-34DCE655B48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Orders</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Kadhir</dc:creator>
  <cp:lastModifiedBy>Aditya Singh</cp:lastModifiedBy>
  <cp:lastPrinted>2026-09-02T19:10:59Z</cp:lastPrinted>
  <dcterms:created xsi:type="dcterms:W3CDTF">2022-06-24T09:46:13Z</dcterms:created>
  <dcterms:modified xsi:type="dcterms:W3CDTF">2026-09-16T20:55:27Z</dcterms:modified>
</cp:coreProperties>
</file>